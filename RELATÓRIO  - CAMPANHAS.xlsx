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marfood-my.sharepoint.com/personal/matheus_freitas_marfoods_com_br/Documents/Área de Trabalho/campanhas-dashboard/"/>
    </mc:Choice>
  </mc:AlternateContent>
  <xr:revisionPtr revIDLastSave="2" documentId="11_DB036FFB702918513849C9DB4D7998137A0BDB70" xr6:coauthVersionLast="47" xr6:coauthVersionMax="47" xr10:uidLastSave="{1043C9C4-0927-4082-BB07-6028FF7372EB}"/>
  <bookViews>
    <workbookView xWindow="-108" yWindow="-108" windowWidth="23256" windowHeight="12456" firstSheet="17" activeTab="19" xr2:uid="{00000000-000D-0000-FFFF-FFFF00000000}"/>
  </bookViews>
  <sheets>
    <sheet name="10062026_VOUCHER_TV_45_89" sheetId="1" r:id="rId1"/>
    <sheet name="18062026_BATATAS_TV_45_120" sheetId="2" r:id="rId2"/>
    <sheet name="22062026_ACAI_TV_45_120" sheetId="3" r:id="rId3"/>
    <sheet name="23062026_BATATA_TV_45_120" sheetId="4" r:id="rId4"/>
    <sheet name="24062026_COPA_RP_20_44" sheetId="5" r:id="rId5"/>
    <sheet name="25062026_DIADOACAI_TV_45_120" sheetId="6" r:id="rId6"/>
    <sheet name="26062026_DIADOACAI_TV_45_120" sheetId="7" r:id="rId7"/>
    <sheet name="29062026_FECHAMENTO_TV_45_89" sheetId="8" r:id="rId8"/>
    <sheet name="30062026_PROSPECCAO_TV_45_365" sheetId="9" r:id="rId9"/>
    <sheet name="30062026_BRASILVENC_RP_20_44" sheetId="10" r:id="rId10"/>
    <sheet name="01072026_VOUCHER_TV_45_365" sheetId="11" r:id="rId11"/>
    <sheet name="02072026_VOLTEACOMP_RP_20_44" sheetId="12" r:id="rId12"/>
    <sheet name="03072026_ACAI_TV_45_120" sheetId="13" r:id="rId13"/>
    <sheet name="06072026_ACAI_TV_20_44" sheetId="14" r:id="rId14"/>
    <sheet name="06072026_ACAI_RP_20_44" sheetId="15" r:id="rId15"/>
    <sheet name="07072026_CNPJ_TV_44_365" sheetId="16" r:id="rId16"/>
    <sheet name="08072026_CNPJ_TV_45_400" sheetId="17" r:id="rId17"/>
    <sheet name="08072026_CNPJ_AT_20_44" sheetId="18" r:id="rId18"/>
    <sheet name="09072026_SUPERVOUCH_TV_45_120" sheetId="19" r:id="rId19"/>
    <sheet name="Dados Geral" sheetId="20" r:id="rId20"/>
    <sheet name="Resumo por RCA" sheetId="21" r:id="rId21"/>
    <sheet name="Planilha1" sheetId="22" state="hidden" r:id="rId22"/>
  </sheets>
  <definedNames>
    <definedName name="_xlnm._FilterDatabase" localSheetId="19" hidden="1">'Dados Geral'!$A$1:$K$224</definedName>
  </definedNames>
  <calcPr calcId="181029"/>
</workbook>
</file>

<file path=xl/calcChain.xml><?xml version="1.0" encoding="utf-8"?>
<calcChain xmlns="http://schemas.openxmlformats.org/spreadsheetml/2006/main">
  <c r="C22" i="13" l="1"/>
  <c r="C21" i="13"/>
  <c r="C20" i="13"/>
  <c r="C19" i="13"/>
  <c r="C18" i="13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F18" i="10" a="1"/>
  <c r="F18" i="10" s="1"/>
  <c r="C18" i="10"/>
  <c r="F26" i="9" a="1"/>
  <c r="F26" i="9" s="1"/>
  <c r="C26" i="9"/>
  <c r="F25" i="9" a="1"/>
  <c r="F25" i="9" s="1"/>
  <c r="C25" i="9"/>
  <c r="F24" i="9" a="1"/>
  <c r="F24" i="9" s="1"/>
  <c r="C24" i="9"/>
  <c r="F23" i="9" a="1"/>
  <c r="F23" i="9" s="1"/>
  <c r="C23" i="9"/>
  <c r="F22" i="9" a="1"/>
  <c r="F22" i="9" s="1"/>
  <c r="C22" i="9"/>
  <c r="F21" i="9" a="1"/>
  <c r="F21" i="9" s="1"/>
  <c r="C21" i="9"/>
  <c r="F20" i="9" a="1"/>
  <c r="F20" i="9" s="1"/>
  <c r="C20" i="9"/>
  <c r="F19" i="9" a="1"/>
  <c r="F19" i="9" s="1"/>
  <c r="C19" i="9"/>
  <c r="F18" i="9" a="1"/>
  <c r="F18" i="9" s="1"/>
  <c r="C18" i="9"/>
  <c r="F39" i="7" a="1"/>
  <c r="F39" i="7" s="1"/>
  <c r="C39" i="7"/>
  <c r="F38" i="7" a="1"/>
  <c r="F38" i="7" s="1"/>
  <c r="C38" i="7"/>
  <c r="F37" i="7" a="1"/>
  <c r="F37" i="7" s="1"/>
  <c r="C37" i="7"/>
  <c r="F36" i="7" a="1"/>
  <c r="F36" i="7" s="1"/>
  <c r="C36" i="7"/>
  <c r="F35" i="7" a="1"/>
  <c r="F35" i="7" s="1"/>
  <c r="C35" i="7"/>
  <c r="F34" i="7" a="1"/>
  <c r="F34" i="7" s="1"/>
  <c r="C34" i="7"/>
  <c r="F33" i="7" a="1"/>
  <c r="F33" i="7" s="1"/>
  <c r="C33" i="7"/>
  <c r="F32" i="7" a="1"/>
  <c r="F32" i="7" s="1"/>
  <c r="C32" i="7"/>
  <c r="F31" i="7" a="1"/>
  <c r="F31" i="7" s="1"/>
  <c r="C31" i="7"/>
  <c r="F30" i="7" a="1"/>
  <c r="F30" i="7" s="1"/>
  <c r="C30" i="7"/>
  <c r="F29" i="7" a="1"/>
  <c r="F29" i="7" s="1"/>
  <c r="C29" i="7"/>
  <c r="F28" i="7" a="1"/>
  <c r="F28" i="7" s="1"/>
  <c r="C28" i="7"/>
  <c r="F27" i="7" a="1"/>
  <c r="F27" i="7" s="1"/>
  <c r="C27" i="7"/>
  <c r="F26" i="7" a="1"/>
  <c r="F26" i="7" s="1"/>
  <c r="C26" i="7"/>
  <c r="F25" i="7" a="1"/>
  <c r="F25" i="7" s="1"/>
  <c r="C25" i="7"/>
  <c r="F24" i="7" a="1"/>
  <c r="F24" i="7" s="1"/>
  <c r="C24" i="7"/>
  <c r="F23" i="7" a="1"/>
  <c r="F23" i="7" s="1"/>
  <c r="C23" i="7"/>
  <c r="F22" i="7" a="1"/>
  <c r="F22" i="7" s="1"/>
  <c r="C22" i="7"/>
  <c r="F21" i="7" a="1"/>
  <c r="F21" i="7" s="1"/>
  <c r="C21" i="7"/>
  <c r="F20" i="7" a="1"/>
  <c r="F20" i="7" s="1"/>
  <c r="C20" i="7"/>
  <c r="F19" i="7" a="1"/>
  <c r="F19" i="7" s="1"/>
  <c r="C19" i="7"/>
  <c r="F18" i="7" a="1"/>
  <c r="F18" i="7" s="1"/>
  <c r="C18" i="7"/>
  <c r="F46" i="6" a="1"/>
  <c r="F46" i="6" s="1"/>
  <c r="C46" i="6"/>
  <c r="F45" i="6" a="1"/>
  <c r="F45" i="6" s="1"/>
  <c r="C45" i="6"/>
  <c r="F44" i="6" a="1"/>
  <c r="F44" i="6" s="1"/>
  <c r="C44" i="6"/>
  <c r="F43" i="6" a="1"/>
  <c r="F43" i="6" s="1"/>
  <c r="C43" i="6"/>
  <c r="F42" i="6" a="1"/>
  <c r="F42" i="6" s="1"/>
  <c r="C42" i="6"/>
  <c r="F41" i="6" a="1"/>
  <c r="F41" i="6" s="1"/>
  <c r="C41" i="6"/>
  <c r="F40" i="6" a="1"/>
  <c r="F40" i="6" s="1"/>
  <c r="C40" i="6"/>
  <c r="F39" i="6" a="1"/>
  <c r="F39" i="6" s="1"/>
  <c r="C39" i="6"/>
  <c r="F38" i="6" a="1"/>
  <c r="F38" i="6" s="1"/>
  <c r="C38" i="6"/>
  <c r="F37" i="6" a="1"/>
  <c r="F37" i="6" s="1"/>
  <c r="C37" i="6"/>
  <c r="F36" i="6" a="1"/>
  <c r="F36" i="6" s="1"/>
  <c r="C36" i="6"/>
  <c r="F35" i="6" a="1"/>
  <c r="F35" i="6" s="1"/>
  <c r="C35" i="6"/>
  <c r="F34" i="6" a="1"/>
  <c r="F34" i="6" s="1"/>
  <c r="C34" i="6"/>
  <c r="F33" i="6" a="1"/>
  <c r="F33" i="6" s="1"/>
  <c r="C33" i="6"/>
  <c r="F32" i="6" a="1"/>
  <c r="F32" i="6" s="1"/>
  <c r="C32" i="6"/>
  <c r="F31" i="6" a="1"/>
  <c r="F31" i="6" s="1"/>
  <c r="C31" i="6"/>
  <c r="F30" i="6" a="1"/>
  <c r="F30" i="6" s="1"/>
  <c r="C30" i="6"/>
  <c r="F29" i="6" a="1"/>
  <c r="F29" i="6" s="1"/>
  <c r="C29" i="6"/>
  <c r="F28" i="6" a="1"/>
  <c r="F28" i="6" s="1"/>
  <c r="C28" i="6"/>
  <c r="F27" i="6" a="1"/>
  <c r="F27" i="6" s="1"/>
  <c r="C27" i="6"/>
  <c r="F26" i="6" a="1"/>
  <c r="F26" i="6" s="1"/>
  <c r="C26" i="6"/>
  <c r="F25" i="6" a="1"/>
  <c r="F25" i="6" s="1"/>
  <c r="C25" i="6"/>
  <c r="F24" i="6" a="1"/>
  <c r="F24" i="6" s="1"/>
  <c r="C24" i="6"/>
  <c r="F23" i="6" a="1"/>
  <c r="F23" i="6" s="1"/>
  <c r="C23" i="6"/>
  <c r="F22" i="6" a="1"/>
  <c r="F22" i="6" s="1"/>
  <c r="C22" i="6"/>
  <c r="F21" i="6" a="1"/>
  <c r="F21" i="6" s="1"/>
  <c r="C21" i="6"/>
  <c r="F20" i="6" a="1"/>
  <c r="F20" i="6" s="1"/>
  <c r="C20" i="6"/>
  <c r="F19" i="6" a="1"/>
  <c r="F19" i="6" s="1"/>
  <c r="C19" i="6"/>
  <c r="F18" i="6" a="1"/>
  <c r="F18" i="6" s="1"/>
  <c r="C18" i="6"/>
  <c r="K40" i="5"/>
  <c r="F39" i="5" a="1"/>
  <c r="F39" i="5" s="1"/>
  <c r="C39" i="5"/>
  <c r="F38" i="5" a="1"/>
  <c r="F38" i="5" s="1"/>
  <c r="C38" i="5"/>
  <c r="F37" i="5" a="1"/>
  <c r="F37" i="5" s="1"/>
  <c r="C37" i="5"/>
  <c r="F36" i="5" a="1"/>
  <c r="F36" i="5" s="1"/>
  <c r="C36" i="5"/>
  <c r="F35" i="5" a="1"/>
  <c r="F35" i="5" s="1"/>
  <c r="C35" i="5"/>
  <c r="F34" i="5" a="1"/>
  <c r="F34" i="5" s="1"/>
  <c r="C34" i="5"/>
  <c r="F33" i="5" a="1"/>
  <c r="F33" i="5" s="1"/>
  <c r="C33" i="5"/>
  <c r="F32" i="5" a="1"/>
  <c r="F32" i="5" s="1"/>
  <c r="C32" i="5"/>
  <c r="F31" i="5" a="1"/>
  <c r="F31" i="5" s="1"/>
  <c r="C31" i="5"/>
  <c r="F30" i="5" a="1"/>
  <c r="F30" i="5" s="1"/>
  <c r="C30" i="5"/>
  <c r="F29" i="5" a="1"/>
  <c r="F29" i="5"/>
  <c r="C29" i="5"/>
  <c r="F28" i="5" a="1"/>
  <c r="F28" i="5" s="1"/>
  <c r="C28" i="5"/>
  <c r="F27" i="5" a="1"/>
  <c r="F27" i="5" s="1"/>
  <c r="C27" i="5"/>
  <c r="F26" i="5" a="1"/>
  <c r="F26" i="5" s="1"/>
  <c r="C26" i="5"/>
  <c r="F25" i="5" a="1"/>
  <c r="F25" i="5" s="1"/>
  <c r="C25" i="5"/>
  <c r="F24" i="5" a="1"/>
  <c r="F24" i="5" s="1"/>
  <c r="C24" i="5"/>
  <c r="F23" i="5" a="1"/>
  <c r="F23" i="5" s="1"/>
  <c r="C23" i="5"/>
  <c r="F22" i="5" a="1"/>
  <c r="F22" i="5" s="1"/>
  <c r="C22" i="5"/>
  <c r="F21" i="5" a="1"/>
  <c r="F21" i="5" s="1"/>
  <c r="C21" i="5"/>
  <c r="O20" i="5"/>
  <c r="F20" i="5" a="1"/>
  <c r="F20" i="5" s="1"/>
  <c r="C20" i="5"/>
  <c r="M19" i="5"/>
  <c r="F19" i="5" a="1"/>
  <c r="F19" i="5" s="1"/>
  <c r="C19" i="5"/>
  <c r="N18" i="5"/>
  <c r="F18" i="5" a="1"/>
  <c r="F18" i="5" s="1"/>
  <c r="C18" i="5"/>
  <c r="F20" i="4" a="1"/>
  <c r="F20" i="4" s="1"/>
  <c r="C20" i="4"/>
  <c r="F19" i="4" a="1"/>
  <c r="F19" i="4" s="1"/>
  <c r="C19" i="4"/>
  <c r="F18" i="4" a="1"/>
  <c r="F18" i="4" s="1"/>
  <c r="C18" i="4"/>
  <c r="F24" i="3" a="1"/>
  <c r="F24" i="3" s="1"/>
  <c r="C24" i="3"/>
  <c r="F23" i="3" a="1"/>
  <c r="F23" i="3" s="1"/>
  <c r="C23" i="3"/>
  <c r="F22" i="3" a="1"/>
  <c r="F22" i="3" s="1"/>
  <c r="C22" i="3"/>
  <c r="F21" i="3" a="1"/>
  <c r="F21" i="3" s="1"/>
  <c r="C21" i="3"/>
  <c r="F20" i="3" a="1"/>
  <c r="F20" i="3" s="1"/>
  <c r="C20" i="3"/>
  <c r="F19" i="3" a="1"/>
  <c r="F19" i="3" s="1"/>
  <c r="C19" i="3"/>
  <c r="F18" i="3" a="1"/>
  <c r="F18" i="3" s="1"/>
  <c r="C18" i="3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<sst xmlns="http://schemas.openxmlformats.org/spreadsheetml/2006/main" count="4623" uniqueCount="219">
  <si>
    <t>CAMPANHA VOUCHER | 45-89 DIAS | TELEVENDAS</t>
  </si>
  <si>
    <t>TEXTO DE DISPARO</t>
  </si>
  <si>
    <t xml:space="preserve">Olá! Tudo bem? Temos uma condição especial esperando por você! _x000D_
🎁 Clique abaixo e fale com nossa equipe para garantir seu benefício. _x000D_
</t>
  </si>
  <si>
    <t>PÚBLICO DE DISPARO</t>
  </si>
  <si>
    <t>Todos (CPF E CNPJ)_x000D_
45 à 120 dias sem compra.</t>
  </si>
  <si>
    <t>RESUMO DE DISPARO</t>
  </si>
  <si>
    <t xml:space="preserve">1539 contatos totais_x000D_
643 contatos receberam </t>
  </si>
  <si>
    <t>CAMPANHA BATATAS | 45-120 DIAS | TELEVENDAS</t>
  </si>
  <si>
    <t>Renove seu estoque para a Copa! Temos condições especiais em produtos selecionados para o seu negócio aproveitar as oportunidades dessa temporada.</t>
  </si>
  <si>
    <t>CNPJ_x000D_
45 à 120 dias sem compra.</t>
  </si>
  <si>
    <t xml:space="preserve">3989 contatos totais_x000D_
1269 contatos receberam </t>
  </si>
  <si>
    <t>CAMPANHA AÇAÍ | 45-120 DIAS | TELEVENDAS</t>
  </si>
  <si>
    <t xml:space="preserve">Olá! Tudo bem? Percebemos que faz um tempo que você não realiza pedidos conosco e queremos apresentar uma oportunidade especial. A MAR Food Service está com condições diferenciadas para a linha de açaí Polpanorte, ideal para reforçar seu estoque e aproveitar a demanda da temporada. Gostaria de receber mais informações?_x000D_
</t>
  </si>
  <si>
    <t>CPF_x000D_
45 à 120 dias sem compra.</t>
  </si>
  <si>
    <t xml:space="preserve">333 contatos totais_x000D_
160 contatos receberam </t>
  </si>
  <si>
    <t>DETALHES</t>
  </si>
  <si>
    <t>ID</t>
  </si>
  <si>
    <t>RESPOSTA</t>
  </si>
  <si>
    <t>COD|RCA</t>
  </si>
  <si>
    <t>RESPONSAVEL</t>
  </si>
  <si>
    <t>SETOR</t>
  </si>
  <si>
    <t>REGIÃO</t>
  </si>
  <si>
    <t>SUPERVISOR</t>
  </si>
  <si>
    <t>CAMPANHA</t>
  </si>
  <si>
    <t>DATA</t>
  </si>
  <si>
    <t>COMPRA</t>
  </si>
  <si>
    <t>VALOR</t>
  </si>
  <si>
    <t>Teve Interesse</t>
  </si>
  <si>
    <t>Cristielen</t>
  </si>
  <si>
    <t>Televendas</t>
  </si>
  <si>
    <t>Franciele</t>
  </si>
  <si>
    <t>Açai</t>
  </si>
  <si>
    <t>Sim</t>
  </si>
  <si>
    <t>Jenifer</t>
  </si>
  <si>
    <t>Não</t>
  </si>
  <si>
    <t>-</t>
  </si>
  <si>
    <t>CAMPANHA BATATA| 45-120 DIAS | TELEVENDAS</t>
  </si>
  <si>
    <t xml:space="preserve">Seu estoque está preparado para as próximas vendas? Temos condições especiais e oportunidades exclusivas nesta semana que podem fazer a diferença para o seu negócio. 👉 Responda esta mensagem e saiba mais. </t>
  </si>
  <si>
    <t xml:space="preserve">897 contatos totais_x000D_
301 contatos receberam </t>
  </si>
  <si>
    <t>Tatiana Lacerda</t>
  </si>
  <si>
    <t>Batata</t>
  </si>
  <si>
    <t>Paulo Renato</t>
  </si>
  <si>
    <t>Muriel</t>
  </si>
  <si>
    <t>CAMPANHA COPA | 20-44 DIAS | REPRESENTANTES</t>
  </si>
  <si>
    <t>Olá! 👋 Responda "QUERO GARANTIR" e aproveite uma condição exclusiva, além de um brinde especial. 🎁 Promoção válida somente hoje. Não perca essa oportunidade!</t>
  </si>
  <si>
    <t>Todos_x000D_
20 à 44 dias sem compra.</t>
  </si>
  <si>
    <t>370 contatos totais_x000D_
183 contatos receberam</t>
  </si>
  <si>
    <t>Andreia Lopes</t>
  </si>
  <si>
    <t>Externo</t>
  </si>
  <si>
    <t>Jackson</t>
  </si>
  <si>
    <t>20 à 30</t>
  </si>
  <si>
    <t>Arlecio Lindemann</t>
  </si>
  <si>
    <t>Moizes</t>
  </si>
  <si>
    <t>Dionis Jose</t>
  </si>
  <si>
    <t>Leonardo</t>
  </si>
  <si>
    <t>Douglas Montagna</t>
  </si>
  <si>
    <t>Juliano</t>
  </si>
  <si>
    <t>Elisiane Lambrechtt</t>
  </si>
  <si>
    <t>Gislaine Muller</t>
  </si>
  <si>
    <t>Henrique Godinho</t>
  </si>
  <si>
    <t>Rose - Nelvara</t>
  </si>
  <si>
    <t>Viviane Botelho</t>
  </si>
  <si>
    <t>Ariane Quebao</t>
  </si>
  <si>
    <t>30 à 44</t>
  </si>
  <si>
    <t>Camila Arruda</t>
  </si>
  <si>
    <t>Jairo Costa</t>
  </si>
  <si>
    <t>Moacir Lopes</t>
  </si>
  <si>
    <t>Nei Xavier</t>
  </si>
  <si>
    <t>Raquel Ricardo</t>
  </si>
  <si>
    <t>Timoteo Hellwing</t>
  </si>
  <si>
    <t>Volnei Klug</t>
  </si>
  <si>
    <t>CAMPANHA DIA DO AÇAÍ | 45-120 DIAS | TELEVENDAS</t>
  </si>
  <si>
    <t>🚨 HOJE É O DIA DO AÇAÍ NA MAR! Condições especiais, preços exclusivos e estoque limitado para você abastecer seu negócio. ⏰ As ofertas são válidas somente hoje. 📲 Responda *QUERO A OFERTA* e fale com nossa equipe.</t>
  </si>
  <si>
    <t>Todos_x000D_
45 à 120 dias sem compra.</t>
  </si>
  <si>
    <t xml:space="preserve">1144 contatos totais_x000D_
812 contatos receberam </t>
  </si>
  <si>
    <t>não</t>
  </si>
  <si>
    <t>44006 </t>
  </si>
  <si>
    <t>39962 </t>
  </si>
  <si>
    <t>Natalia</t>
  </si>
  <si>
    <t>Teve compra</t>
  </si>
  <si>
    <t xml:space="preserve">738 contatos totais_x000D_
430 contatos receberam </t>
  </si>
  <si>
    <t>Wagner da Silva</t>
  </si>
  <si>
    <t>20 à 44</t>
  </si>
  <si>
    <t>Marcelo de Souza</t>
  </si>
  <si>
    <t>Fernando Moura</t>
  </si>
  <si>
    <t>Vinicios da Luz</t>
  </si>
  <si>
    <t>Bruno Santos</t>
  </si>
  <si>
    <t>Mauricio Keenan</t>
  </si>
  <si>
    <t>Juliano Lause</t>
  </si>
  <si>
    <t>CAMPANHA FECHAMENTO DO MÊS | 45-89 DIAS | TELEVENDAS</t>
  </si>
  <si>
    <t xml:space="preserve">Fechando o mês com muito açaí! 💜 Os últimos dias do mês chegaram e essa é a oportunidade perfeita para garantir o seu estoque com a qualidade. 📲 Fale conosco e aproveite as condições disponíveis antes que o mês acabe! _x000D_
</t>
  </si>
  <si>
    <t>Todos_x000D_
45 à 90 dias sem compra</t>
  </si>
  <si>
    <t xml:space="preserve">77 contatos totais_x000D_
31 contatos receberam </t>
  </si>
  <si>
    <t>CAMPANHA PROSPECÇÃO CNPJ | 45-365 DIAS | TELEVENDAS</t>
  </si>
  <si>
    <t>Olá! Tudo bem? Seu negócio pode contar com um fornecedor completo para abastecer seu estoque com qualidade e praticidade. ✔ Produtos para food service ✔ Preços competitivos ✔ Entrega rápida ✔ Atendimento especializado 💬 Clique em "Solicitar Orçamento" e nossa equipe preparará uma proposta personalizada para sua empresa.</t>
  </si>
  <si>
    <t>CNPJ_x000D_
45 à 365 dias sem compra</t>
  </si>
  <si>
    <t xml:space="preserve">2441 contatos totais_x000D_
880  contatos receberam </t>
  </si>
  <si>
    <t>Diversos</t>
  </si>
  <si>
    <t>CAMPANHA BRASIL VENCEU | 20-44 DIAS | REPRESENTANTES</t>
  </si>
  <si>
    <t xml:space="preserve">O Brasil venceu... agora é a vez do seu negócio marcar um golaço! Conte com a MAR Food Service para abastecer seu estabelecimento com produtos de qualidade, entrega rápida e atendimento especializado. ⚽ Clique abaixo e fale com nossa equipe para solicitar um orçamento personalizado. </t>
  </si>
  <si>
    <t>Todos_x000D_
20 à 44 dias sem compra</t>
  </si>
  <si>
    <t xml:space="preserve">984 contatos totais_x000D_
314 contatos receberam </t>
  </si>
  <si>
    <t>CAMPANHA VOUCHER | 45-365 DIAS | TELEVENDAS</t>
  </si>
  <si>
    <t>Hoje você tem acesso a uma condição exclusiva! Responda "QUERO GARANTIR" e receba seu cupom com uma oferta especial. ⏳ Promoção por tempo limitado.</t>
  </si>
  <si>
    <t xml:space="preserve">1395 contatos totais_x000D_
742 contatos receberam </t>
  </si>
  <si>
    <t>Thiago Fraga</t>
  </si>
  <si>
    <t>Vale dos Sinos</t>
  </si>
  <si>
    <t>Serra</t>
  </si>
  <si>
    <t>Voucher</t>
  </si>
  <si>
    <t>Litoral</t>
  </si>
  <si>
    <t>Sul</t>
  </si>
  <si>
    <t>Grande POA</t>
  </si>
  <si>
    <t>CAMPANHA VOLTE A COMPRAR | 20-44 DIAS | REPRESENTANTES</t>
  </si>
  <si>
    <t xml:space="preserve">Olá! Temos uma oferta exclusiva para o seu próximo pedido na MAR Food Service. Responda "QUERO" para que um de nossos representantes apresente as condições disponíveis para você. </t>
  </si>
  <si>
    <t xml:space="preserve">963 contatos totais_x000D_
406 contatos receberam </t>
  </si>
  <si>
    <t>Guilherme Juhliano</t>
  </si>
  <si>
    <t>Timoteo</t>
  </si>
  <si>
    <t>Carlos Alberto</t>
  </si>
  <si>
    <t>Anaina Schmidt</t>
  </si>
  <si>
    <t>Rose - Nelvaira</t>
  </si>
  <si>
    <t>Henrik Von Muhlen</t>
  </si>
  <si>
    <t>Luiz Olavo</t>
  </si>
  <si>
    <t>Edson Luiz</t>
  </si>
  <si>
    <t>Vinicius da Luz</t>
  </si>
  <si>
    <t>Não teve</t>
  </si>
  <si>
    <t>Evandro da Costa</t>
  </si>
  <si>
    <t>Sidimar Luis</t>
  </si>
  <si>
    <t xml:space="preserve">Promoção de açaí disponível na MAR FOOD SERVICE! Aproveite uma condição exclusiva por tempo limitado e com um brinde exclusivo. Responda "QUERO" para receber as informações.💜 </t>
  </si>
  <si>
    <t>CPF_x000D_
45 à 120 dias sem compra</t>
  </si>
  <si>
    <t xml:space="preserve">986 contatos totais_x000D_
358 contatos receberam </t>
  </si>
  <si>
    <t>CAMPANHA AÇAÍ | 20-44 DIAS | TELEVENDAS</t>
  </si>
  <si>
    <t>🎉 CONDIÇÃO EXCLUSIVA NA MAR FOOD SERVICE! 🎉 Chame aqui e garanta uma condição especial para sua empresa. Nossa equipe está pronta para apresentar a melhor negociação para você.</t>
  </si>
  <si>
    <t>CPF_x000D_
45 à 365 dias sem compra</t>
  </si>
  <si>
    <t xml:space="preserve">1436 contatos totais_x000D_
628 contatos receberam </t>
  </si>
  <si>
    <t>Metropolitana</t>
  </si>
  <si>
    <t>Sem Interesse</t>
  </si>
  <si>
    <t>Cristielen Gonçalves</t>
  </si>
  <si>
    <t>Jenifer Rodrigues</t>
  </si>
  <si>
    <t>Pré vendas</t>
  </si>
  <si>
    <t>CAMPANHA AÇAÍ | 20-44 DIAS | REPRESENTANTES</t>
  </si>
  <si>
    <t xml:space="preserve">904 contatos totais_x000D_
328 contatos receberam </t>
  </si>
  <si>
    <t>Jonathas Baptista</t>
  </si>
  <si>
    <t>Rita de Cassia</t>
  </si>
  <si>
    <t>ILtom Armindo</t>
  </si>
  <si>
    <t>Fabricio Brancher</t>
  </si>
  <si>
    <t>GianFrancisco Silva</t>
  </si>
  <si>
    <t>Tiago Ayres</t>
  </si>
  <si>
    <t>Timoteo Hellwig</t>
  </si>
  <si>
    <t>CAMPANHA CNPJ| 44-365 DIAS | TELEVENDAS</t>
  </si>
  <si>
    <t xml:space="preserve">🚨 Condições especiais para clientes com CNPJ! A MAR Food Service oferece preços diferenciados e um portfólio completo para abastecer o seu negócio com qualidade e economia. 📦 Carnes, frios, laticínios e muito mais. Responda "QUERO" e fale com nossa equipe para conhecer as condições disponíveis. Aproveite! </t>
  </si>
  <si>
    <t>Todos_x000D_
45 à 365 dias sem compra</t>
  </si>
  <si>
    <t xml:space="preserve">3561 contatos totais_x000D_
1558 contatos receberam </t>
  </si>
  <si>
    <t>Prévendas</t>
  </si>
  <si>
    <t>CAMPANHA CNPJ| 45-400 DIAS | TELEVENDAS</t>
  </si>
  <si>
    <t xml:space="preserve">Condição especial na MAR Food Service! Aproveite as condições da semana para manter o estoque do seu negócio sempre abastecido. Responda a esta mensagem e nossa equipe atenderá você em instantes. </t>
  </si>
  <si>
    <t>CPF_x000D_
45 à 400 dias sem compra</t>
  </si>
  <si>
    <t xml:space="preserve">1692 contatos totais_x000D_
523 contatos receberam </t>
  </si>
  <si>
    <t>Ofertas</t>
  </si>
  <si>
    <t>CAMPANHA CNPJ| 20 -44 DIAS | ATIVOS</t>
  </si>
  <si>
    <t xml:space="preserve">1100 contatos totais_x000D_
312 contatos receberam </t>
  </si>
  <si>
    <t>Larissa de Moura</t>
  </si>
  <si>
    <t>Com Interesse</t>
  </si>
  <si>
    <t>Vale dos SInos</t>
  </si>
  <si>
    <t>Jose Carlos</t>
  </si>
  <si>
    <t>Moizess</t>
  </si>
  <si>
    <t>Victor Hugo</t>
  </si>
  <si>
    <t>CAMPANHA SUPER VOUCHER| 45-120 DIAS | TELEVENDAS</t>
  </si>
  <si>
    <t xml:space="preserve">Seu benefício exclusivo está quase liberado! Basta responder este card para conhecer nosso mix de produtos e desbloquear uma condição especial para sua próxima compra. 👉 Responda "QUERO". </t>
  </si>
  <si>
    <t>Todos_x000D_
45 à 120 dias sem compra</t>
  </si>
  <si>
    <t xml:space="preserve">1166 contatos totais_x000D_
310 contatos receberam </t>
  </si>
  <si>
    <t>Pré Vendas</t>
  </si>
  <si>
    <t>Super Voucher</t>
  </si>
  <si>
    <t/>
  </si>
  <si>
    <t>Data</t>
  </si>
  <si>
    <t>Total de clientes</t>
  </si>
  <si>
    <t>Receberam</t>
  </si>
  <si>
    <t>SLUG</t>
  </si>
  <si>
    <t>Geral</t>
  </si>
  <si>
    <t>AÇAÍ | 45-120 DIAS | TELEVENDAS</t>
  </si>
  <si>
    <t>VOUCHER | 45-89 DIAS | TELEVENDAS</t>
  </si>
  <si>
    <t>10062026_VOUCHER_TV_45_89</t>
  </si>
  <si>
    <t>BATATAS | 45-120 DIAS | TELEVENDAS</t>
  </si>
  <si>
    <t>18062026_BATATAS_TV_45_120</t>
  </si>
  <si>
    <t>22062026_ACAI_TV_45_120</t>
  </si>
  <si>
    <t>Cristielen da Silva</t>
  </si>
  <si>
    <t>23062026_BATATA_TV_45_120</t>
  </si>
  <si>
    <t>COPA | 20-44 DIAS | REPRESENTANTES</t>
  </si>
  <si>
    <t>24062026_COPA_RP_20_44</t>
  </si>
  <si>
    <t>DIA DO AÇAÍ | 45-120 DIAS | TELEVENDAS</t>
  </si>
  <si>
    <t>25062026_DIADOACAI_TV_45_120</t>
  </si>
  <si>
    <t>26062026_DIADOACAI_TV_45_120</t>
  </si>
  <si>
    <t xml:space="preserve">CAMPANHA BATATA| 45-120 DIAS | TELEVENDAS																	</t>
  </si>
  <si>
    <t>29062026_FECHAMENTO_TV_45_89</t>
  </si>
  <si>
    <t>Tatiana | Serra</t>
  </si>
  <si>
    <t>PROSPECÇÃO CNPJ | 45-365 DIAS | TELEVENDAS</t>
  </si>
  <si>
    <t>30062026_PROSPECCAO_TV_45_365</t>
  </si>
  <si>
    <t>30062026_BRASILVENC_RP_20_44</t>
  </si>
  <si>
    <t>VOUCHER | 45-365 DIAS | TELEVENDAS</t>
  </si>
  <si>
    <t>01072026_VOUCHER_TV_45_365</t>
  </si>
  <si>
    <t>VOLTE A COMPRAR | 20-44 DIAS | REPRESENTANTES</t>
  </si>
  <si>
    <t>02072026_VOLTEACOMP_RP_20_44</t>
  </si>
  <si>
    <t>03072026_ACAI_TV_45_120</t>
  </si>
  <si>
    <t>06072026_ACAI_RP_20_44</t>
  </si>
  <si>
    <t>06072026_ACAI_TV_20_44</t>
  </si>
  <si>
    <t>07072026_CNPJ_TV_44_365</t>
  </si>
  <si>
    <t>08072026_CNPJ_AT_20_44</t>
  </si>
  <si>
    <t>08072026_CNPJ_TV_45_400</t>
  </si>
  <si>
    <t>09072026_SUPERVOUCH_TV_45_120</t>
  </si>
  <si>
    <t>Natália Bombardelli</t>
  </si>
  <si>
    <t>Perdido</t>
  </si>
  <si>
    <t>Tatiana | Litoral</t>
  </si>
  <si>
    <t>(Tudo)</t>
  </si>
  <si>
    <t>Contagem de ID</t>
  </si>
  <si>
    <t>NOME|RCA</t>
  </si>
  <si>
    <t>Total Geral</t>
  </si>
  <si>
    <t>posit</t>
  </si>
  <si>
    <t>fat</t>
  </si>
  <si>
    <t>% conv</t>
  </si>
  <si>
    <t>FATURAMENTO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</si>
</sst>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6" formatCode="_-&quot;R$&quot;\ * #,##0.00_-;\-&quot;R$&quot;\ * #,##0.00_-;_-&quot;R$&quot;\ * &quot;-&quot;??_-;_-@_-"/>
  </numFmts>
  <fonts count="20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08">
    <xf numFmtId="0" fontId="0" fillId="0" borderId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166" fontId="19" fillId="0" borderId="0" applyFont="0" applyFill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6" fontId="19" fillId="0" borderId="0" applyFont="0" applyFill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2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0" borderId="0" xfId="0"/>
    <xf numFmtId="0" fontId="0" fillId="33" borderId="0" xfId="0" applyFill="1"/>
    <xf numFmtId="14" fontId="0" fillId="0" borderId="0" xfId="0" applyNumberFormat="1"/>
    <xf numFmtId="44" fontId="0" fillId="0" borderId="0" xfId="1" applyFont="1"/>
    <xf numFmtId="44" fontId="2" fillId="0" borderId="0" xfId="1" applyFont="1"/>
    <xf numFmtId="44" fontId="2" fillId="33" borderId="0" xfId="1" applyFont="1" applyFill="1"/>
    <xf numFmtId="0" fontId="2" fillId="0" borderId="0" xfId="388"/>
    <xf numFmtId="0" fontId="2" fillId="33" borderId="0" xfId="388" applyFill="1"/>
    <xf numFmtId="14" fontId="2" fillId="0" borderId="0" xfId="388" applyNumberFormat="1"/>
    <xf numFmtId="14" fontId="2" fillId="33" borderId="0" xfId="388" applyNumberFormat="1" applyFill="1"/>
  </cellXfs>
  <cellStyles count="408">
    <cellStyle name="20% - Ênfase1" xfId="19" builtinId="30" customBuiltin="1"/>
    <cellStyle name="20% - Ênfase1 10" xfId="209" xr:uid="{3C317614-1D40-4BA3-AF96-1A29EFF36E86}"/>
    <cellStyle name="20% - Ênfase1 11" xfId="229" xr:uid="{777CB152-AC3D-422D-A9C9-552337E064DD}"/>
    <cellStyle name="20% - Ênfase1 12" xfId="249" xr:uid="{3E381695-9EEC-42F2-A997-D4445144A52A}"/>
    <cellStyle name="20% - Ênfase1 13" xfId="269" xr:uid="{B5F2FCF3-2B21-4664-BA2E-FC173B42AC38}"/>
    <cellStyle name="20% - Ênfase1 14" xfId="289" xr:uid="{0AA2B60A-C99D-4552-AA17-288C47C8A6FE}"/>
    <cellStyle name="20% - Ênfase1 15" xfId="309" xr:uid="{FB2686C4-C446-46B7-9A01-5DF0C5B159BB}"/>
    <cellStyle name="20% - Ênfase1 16" xfId="329" xr:uid="{586D2E5E-E445-4B05-A9CC-47C029100339}"/>
    <cellStyle name="20% - Ênfase1 17" xfId="349" xr:uid="{AEA6EC84-3D48-46C8-8F34-6062125A375C}"/>
    <cellStyle name="20% - Ênfase1 18" xfId="369" xr:uid="{BD06CAD4-842D-45C8-BE46-37D2E26DB77C}"/>
    <cellStyle name="20% - Ênfase1 19" xfId="390" xr:uid="{18F8E96C-8DC3-4DAD-B359-26F2918F9014}"/>
    <cellStyle name="20% - Ênfase1 2" xfId="48" xr:uid="{D0514332-DBF8-4304-95B7-4A2CD258358F}"/>
    <cellStyle name="20% - Ênfase1 3" xfId="66" xr:uid="{6E5BBA89-D3E8-447D-B8AD-70366D64A8B0}"/>
    <cellStyle name="20% - Ênfase1 4" xfId="88" xr:uid="{D91B958E-871D-45D3-9E23-4E9A5F4EB14D}"/>
    <cellStyle name="20% - Ênfase1 5" xfId="108" xr:uid="{0FDC52B8-AD91-40C9-B1FD-3428CBCE77C6}"/>
    <cellStyle name="20% - Ênfase1 6" xfId="128" xr:uid="{5236B370-3758-4A41-82E8-07B961784B14}"/>
    <cellStyle name="20% - Ênfase1 7" xfId="148" xr:uid="{10EEF815-8031-4AAC-B9C2-30973E518554}"/>
    <cellStyle name="20% - Ênfase1 8" xfId="168" xr:uid="{74E221DE-3263-4255-BF3E-F9C7889BFA2F}"/>
    <cellStyle name="20% - Ênfase1 9" xfId="188" xr:uid="{59654C16-7E53-4CEF-B2B4-6B9481F783EF}"/>
    <cellStyle name="20% - Ênfase2" xfId="23" builtinId="34" customBuiltin="1"/>
    <cellStyle name="20% - Ênfase2 10" xfId="212" xr:uid="{E02ADA5F-3072-42B2-99E2-AA15B47DD157}"/>
    <cellStyle name="20% - Ênfase2 11" xfId="232" xr:uid="{12D0EC0F-CAC2-46BE-8DA0-E93A4631E338}"/>
    <cellStyle name="20% - Ênfase2 12" xfId="252" xr:uid="{F6E4B6EA-569E-413A-A9AF-1E0818B5B64B}"/>
    <cellStyle name="20% - Ênfase2 13" xfId="272" xr:uid="{93A0D6FB-5C5F-4E09-B2D1-27A66F997518}"/>
    <cellStyle name="20% - Ênfase2 14" xfId="292" xr:uid="{94F88E5F-EC89-4B01-901D-92DC3352B6CB}"/>
    <cellStyle name="20% - Ênfase2 15" xfId="312" xr:uid="{A8E13412-C8A3-4EB3-B2F1-4D155BB8387B}"/>
    <cellStyle name="20% - Ênfase2 16" xfId="332" xr:uid="{D9A50A27-3389-4D9C-B018-B3D9DFB939FE}"/>
    <cellStyle name="20% - Ênfase2 17" xfId="352" xr:uid="{1D8177B2-3CA9-4C70-A2FA-A24C4CBB4D92}"/>
    <cellStyle name="20% - Ênfase2 18" xfId="372" xr:uid="{80571B8B-7AB0-43A1-985C-53D4013D76A5}"/>
    <cellStyle name="20% - Ênfase2 19" xfId="393" xr:uid="{DEF0917B-A07F-4995-A29A-683C2F1125CE}"/>
    <cellStyle name="20% - Ênfase2 2" xfId="51" xr:uid="{CB3FDCAB-0FDD-46B0-96F9-B04AAF3AB3CF}"/>
    <cellStyle name="20% - Ênfase2 3" xfId="69" xr:uid="{4CA47BCB-DF26-4057-A4AE-43499CB2E462}"/>
    <cellStyle name="20% - Ênfase2 4" xfId="91" xr:uid="{F54D9EB3-828B-4E78-BF1F-7AEB6F9688A4}"/>
    <cellStyle name="20% - Ênfase2 5" xfId="111" xr:uid="{0A15C453-BD52-4B3B-B4FE-A448DF396C7F}"/>
    <cellStyle name="20% - Ênfase2 6" xfId="131" xr:uid="{8DF6B4DE-393A-41ED-89E1-76A33B382F57}"/>
    <cellStyle name="20% - Ênfase2 7" xfId="151" xr:uid="{7BBD6F64-4573-4B06-98DE-AFDD94CED7B5}"/>
    <cellStyle name="20% - Ênfase2 8" xfId="171" xr:uid="{ED913ACA-2063-4CD7-8764-244B85CDC486}"/>
    <cellStyle name="20% - Ênfase2 9" xfId="191" xr:uid="{35C06F9D-5F0B-41DD-AFC4-0F3F686298CF}"/>
    <cellStyle name="20% - Ênfase3" xfId="27" builtinId="38" customBuiltin="1"/>
    <cellStyle name="20% - Ênfase3 10" xfId="215" xr:uid="{BD6A8743-38D6-4312-B9BE-B96745B26217}"/>
    <cellStyle name="20% - Ênfase3 11" xfId="235" xr:uid="{58234CDF-BDE8-4BA1-B57C-1A6D8ACABB12}"/>
    <cellStyle name="20% - Ênfase3 12" xfId="255" xr:uid="{1F66C614-2E92-42DE-ADA9-38D28736122D}"/>
    <cellStyle name="20% - Ênfase3 13" xfId="275" xr:uid="{73D8C14C-EDAA-4DBF-B2B0-397126EB6537}"/>
    <cellStyle name="20% - Ênfase3 14" xfId="295" xr:uid="{806B6B41-637F-4A8D-BCA1-397EDCC96CC5}"/>
    <cellStyle name="20% - Ênfase3 15" xfId="315" xr:uid="{52F87D37-0CB0-403F-8C6A-4E7BA9B7E4A1}"/>
    <cellStyle name="20% - Ênfase3 16" xfId="335" xr:uid="{E0BA4E8F-17A7-45A7-9970-229D47FA7E5E}"/>
    <cellStyle name="20% - Ênfase3 17" xfId="355" xr:uid="{595C3F91-3E47-4101-B96B-66BD42C3654F}"/>
    <cellStyle name="20% - Ênfase3 18" xfId="375" xr:uid="{1A38F8E3-8F72-4F0C-ADE2-D8188D67B175}"/>
    <cellStyle name="20% - Ênfase3 19" xfId="396" xr:uid="{54890F23-9BE7-4A43-88BA-8B668A86EA82}"/>
    <cellStyle name="20% - Ênfase3 2" xfId="54" xr:uid="{6508E45D-BA79-4498-9DBD-9DF8E18799DA}"/>
    <cellStyle name="20% - Ênfase3 3" xfId="72" xr:uid="{5CB87DCF-62DF-40F6-873F-FAB9B70CBF50}"/>
    <cellStyle name="20% - Ênfase3 4" xfId="94" xr:uid="{1EB1D6FD-FBA0-4168-90BB-3FDD6922486B}"/>
    <cellStyle name="20% - Ênfase3 5" xfId="114" xr:uid="{D81A5AC4-98BC-4113-AE73-E06C6BB6F0B1}"/>
    <cellStyle name="20% - Ênfase3 6" xfId="134" xr:uid="{09C5FF6A-90FA-4073-8FED-F134056D5C8F}"/>
    <cellStyle name="20% - Ênfase3 7" xfId="154" xr:uid="{5BB2D9AE-495F-4E1F-AE40-74258BBD9ECF}"/>
    <cellStyle name="20% - Ênfase3 8" xfId="174" xr:uid="{0CB68C21-9883-4621-978E-B4B30710C97E}"/>
    <cellStyle name="20% - Ênfase3 9" xfId="194" xr:uid="{5394308F-3263-4503-80A4-171A9D42B1F1}"/>
    <cellStyle name="20% - Ênfase4" xfId="31" builtinId="42" customBuiltin="1"/>
    <cellStyle name="20% - Ênfase4 10" xfId="218" xr:uid="{CF6CF748-9277-4B90-A4A4-9BFAEB55B3A8}"/>
    <cellStyle name="20% - Ênfase4 11" xfId="238" xr:uid="{EEB42FC2-5304-403F-9BDD-08E47B09C710}"/>
    <cellStyle name="20% - Ênfase4 12" xfId="258" xr:uid="{7AB205F2-0027-4BCB-9368-A242A078D103}"/>
    <cellStyle name="20% - Ênfase4 13" xfId="278" xr:uid="{C164ECBB-FE99-42B6-9D9C-3E8544942838}"/>
    <cellStyle name="20% - Ênfase4 14" xfId="298" xr:uid="{FF928D41-8D3A-4CE4-985C-022A4602703F}"/>
    <cellStyle name="20% - Ênfase4 15" xfId="318" xr:uid="{376C66F6-3450-4573-B43F-4276A26112CE}"/>
    <cellStyle name="20% - Ênfase4 16" xfId="338" xr:uid="{8F99501C-7A24-4AE9-AAFC-DF79065B1FED}"/>
    <cellStyle name="20% - Ênfase4 17" xfId="358" xr:uid="{85AE556E-8F78-4594-B928-DD3DCA59FD78}"/>
    <cellStyle name="20% - Ênfase4 18" xfId="378" xr:uid="{2420F83E-D65E-405F-9916-D835ECACBCC2}"/>
    <cellStyle name="20% - Ênfase4 19" xfId="399" xr:uid="{978374C8-E705-4043-8E31-E3C9D388B64A}"/>
    <cellStyle name="20% - Ênfase4 2" xfId="57" xr:uid="{699D29FD-FF62-4B63-8F2B-23984F4E9C9F}"/>
    <cellStyle name="20% - Ênfase4 3" xfId="75" xr:uid="{B7427731-C5A7-4666-8FF1-5EA3F17D4382}"/>
    <cellStyle name="20% - Ênfase4 4" xfId="97" xr:uid="{560B3946-D939-4B87-A491-7F76CADB471F}"/>
    <cellStyle name="20% - Ênfase4 5" xfId="117" xr:uid="{3DE9A841-7799-4E7E-8576-EA80379AE85C}"/>
    <cellStyle name="20% - Ênfase4 6" xfId="137" xr:uid="{563E6BB8-C932-4608-B303-65BA0D449EE4}"/>
    <cellStyle name="20% - Ênfase4 7" xfId="157" xr:uid="{C5832CF1-28D7-41EC-B1C5-F3E3A77D9E4A}"/>
    <cellStyle name="20% - Ênfase4 8" xfId="177" xr:uid="{FF730B0D-BA95-4669-89AC-95EBC9817746}"/>
    <cellStyle name="20% - Ênfase4 9" xfId="197" xr:uid="{C5F133D3-6947-4172-A3D4-9A8A7E8E4186}"/>
    <cellStyle name="20% - Ênfase5" xfId="35" builtinId="46" customBuiltin="1"/>
    <cellStyle name="20% - Ênfase5 10" xfId="221" xr:uid="{F1DA5CAB-CB60-4779-9EC5-A51BB7AA1758}"/>
    <cellStyle name="20% - Ênfase5 11" xfId="241" xr:uid="{99B6405D-BAE4-4342-9B88-00DBFAFDC004}"/>
    <cellStyle name="20% - Ênfase5 12" xfId="261" xr:uid="{799700B2-D79F-4AB5-9D6B-8159706DD60F}"/>
    <cellStyle name="20% - Ênfase5 13" xfId="281" xr:uid="{D7602822-E7F0-47D5-AF7F-C28493ECB429}"/>
    <cellStyle name="20% - Ênfase5 14" xfId="301" xr:uid="{FC24488C-2C86-43BA-8679-8F9A963799A6}"/>
    <cellStyle name="20% - Ênfase5 15" xfId="321" xr:uid="{D07B715B-74A6-426E-B053-662158D29537}"/>
    <cellStyle name="20% - Ênfase5 16" xfId="341" xr:uid="{54348D9B-86F7-4604-B1DD-98F08E8D6B7F}"/>
    <cellStyle name="20% - Ênfase5 17" xfId="361" xr:uid="{0FB4E189-BFEB-40B1-8579-D6FD899AA1AD}"/>
    <cellStyle name="20% - Ênfase5 18" xfId="381" xr:uid="{35F82061-AA56-4583-A5D8-3053768394DB}"/>
    <cellStyle name="20% - Ênfase5 19" xfId="402" xr:uid="{D5238120-4228-4961-B89A-0766A93537B6}"/>
    <cellStyle name="20% - Ênfase5 2" xfId="60" xr:uid="{47CD5387-A81C-4BAE-8979-35AB6AF3AA4F}"/>
    <cellStyle name="20% - Ênfase5 3" xfId="78" xr:uid="{3286E76D-089A-4B62-9507-C85DBAFC0A81}"/>
    <cellStyle name="20% - Ênfase5 4" xfId="100" xr:uid="{7E478E20-12D2-4932-8164-0196C293D8CB}"/>
    <cellStyle name="20% - Ênfase5 5" xfId="120" xr:uid="{FD533DB6-EF5A-4C70-B03A-458D844DD766}"/>
    <cellStyle name="20% - Ênfase5 6" xfId="140" xr:uid="{F0692A74-77ED-49C4-916F-2BCBE4940070}"/>
    <cellStyle name="20% - Ênfase5 7" xfId="160" xr:uid="{0D370CE8-BC5B-4C08-AD36-71A261C540CB}"/>
    <cellStyle name="20% - Ênfase5 8" xfId="180" xr:uid="{8D5F5DAC-7F9F-4A4A-9928-F482A2DA63BD}"/>
    <cellStyle name="20% - Ênfase5 9" xfId="200" xr:uid="{7864051F-3A15-4C7E-AA32-BFEC796CF1A3}"/>
    <cellStyle name="20% - Ênfase6" xfId="39" builtinId="50" customBuiltin="1"/>
    <cellStyle name="20% - Ênfase6 10" xfId="224" xr:uid="{D4DE49D8-F828-4FA9-BE6D-F12F128594A5}"/>
    <cellStyle name="20% - Ênfase6 11" xfId="244" xr:uid="{1699FEFC-A44C-4368-8C01-66A4FBC29025}"/>
    <cellStyle name="20% - Ênfase6 12" xfId="264" xr:uid="{A15443C2-4A64-4812-B928-06505C953501}"/>
    <cellStyle name="20% - Ênfase6 13" xfId="284" xr:uid="{7CC8E15A-B595-4D8B-A9ED-CB74D26E0823}"/>
    <cellStyle name="20% - Ênfase6 14" xfId="304" xr:uid="{E3A99035-98EF-495A-AE2D-74E115ADBE08}"/>
    <cellStyle name="20% - Ênfase6 15" xfId="324" xr:uid="{EB30D5DF-71CF-4F8F-AB00-81DED381509D}"/>
    <cellStyle name="20% - Ênfase6 16" xfId="344" xr:uid="{2FDA94BD-5B3B-4408-808B-8D3ADDF5B1A0}"/>
    <cellStyle name="20% - Ênfase6 17" xfId="364" xr:uid="{48AF38B1-0F05-4F4B-89FF-CCC1E5BC239C}"/>
    <cellStyle name="20% - Ênfase6 18" xfId="384" xr:uid="{6E8E4AAD-BFE1-44CC-A851-D0427B2B492C}"/>
    <cellStyle name="20% - Ênfase6 19" xfId="405" xr:uid="{F32B957F-8D41-4D39-926A-7ABE0B125894}"/>
    <cellStyle name="20% - Ênfase6 2" xfId="63" xr:uid="{0A4510C4-79F7-4E4E-9337-262C5A7B65D9}"/>
    <cellStyle name="20% - Ênfase6 3" xfId="81" xr:uid="{97FBB7A6-BD5E-4978-9A98-871B14EBF68D}"/>
    <cellStyle name="20% - Ênfase6 4" xfId="103" xr:uid="{EA745553-F8F4-4282-884E-2F82DE1D42C2}"/>
    <cellStyle name="20% - Ênfase6 5" xfId="123" xr:uid="{7A69A682-58BC-459C-BF19-38CA93A3B706}"/>
    <cellStyle name="20% - Ênfase6 6" xfId="143" xr:uid="{8D11AF9D-0C5F-42C0-A62C-5BD036F64693}"/>
    <cellStyle name="20% - Ênfase6 7" xfId="163" xr:uid="{BB5F65FC-CB6D-471A-8CF1-D5BD74608AC6}"/>
    <cellStyle name="20% - Ênfase6 8" xfId="183" xr:uid="{C07974FC-E500-4709-B41A-CD2399DD4318}"/>
    <cellStyle name="20% - Ênfase6 9" xfId="203" xr:uid="{6F2EDBA3-53B7-4CB8-959D-FAAB754631E9}"/>
    <cellStyle name="40% - Ênfase1" xfId="20" builtinId="31" customBuiltin="1"/>
    <cellStyle name="40% - Ênfase1 10" xfId="210" xr:uid="{CF521BD4-CEC0-4D04-BBE5-20089915B895}"/>
    <cellStyle name="40% - Ênfase1 11" xfId="230" xr:uid="{A9EFFB28-3356-4722-AFFF-430832B0781A}"/>
    <cellStyle name="40% - Ênfase1 12" xfId="250" xr:uid="{9CAFDB89-59FD-4C8F-AAED-49E1BC328298}"/>
    <cellStyle name="40% - Ênfase1 13" xfId="270" xr:uid="{846E4FEA-5258-4A60-BFDA-820CBB63AFE2}"/>
    <cellStyle name="40% - Ênfase1 14" xfId="290" xr:uid="{F3580909-FF9B-42C9-990E-AA96E14F617A}"/>
    <cellStyle name="40% - Ênfase1 15" xfId="310" xr:uid="{496B58F2-3F22-4FBC-8179-B5D087084700}"/>
    <cellStyle name="40% - Ênfase1 16" xfId="330" xr:uid="{38715C53-9FE0-4100-9461-89A89D4E0619}"/>
    <cellStyle name="40% - Ênfase1 17" xfId="350" xr:uid="{35E74003-CF7C-4E86-8F77-01EE0AF7D881}"/>
    <cellStyle name="40% - Ênfase1 18" xfId="370" xr:uid="{1CF68338-443F-4850-9494-17E0EC4E11FA}"/>
    <cellStyle name="40% - Ênfase1 19" xfId="391" xr:uid="{4B0F751A-9D05-47AE-8982-22B21A1E2E90}"/>
    <cellStyle name="40% - Ênfase1 2" xfId="49" xr:uid="{AEA3B937-DC9D-4D49-88BA-A8D1B5A930C5}"/>
    <cellStyle name="40% - Ênfase1 3" xfId="67" xr:uid="{33E3DDF8-DB30-4A95-B317-BCDA8F66328A}"/>
    <cellStyle name="40% - Ênfase1 4" xfId="89" xr:uid="{79290100-078E-4C4C-9276-9B1244120848}"/>
    <cellStyle name="40% - Ênfase1 5" xfId="109" xr:uid="{795BB0BF-3818-4BFB-A662-E5F44C89BDB7}"/>
    <cellStyle name="40% - Ênfase1 6" xfId="129" xr:uid="{80438D71-E097-4CBA-931F-9570C88BFFE1}"/>
    <cellStyle name="40% - Ênfase1 7" xfId="149" xr:uid="{4DE0B4CD-6BB1-46C0-BF4D-E2B0881154B5}"/>
    <cellStyle name="40% - Ênfase1 8" xfId="169" xr:uid="{17C37C23-85E3-4AFC-B296-CA0EC452A11B}"/>
    <cellStyle name="40% - Ênfase1 9" xfId="189" xr:uid="{6EA9E258-3B14-4CE9-BC60-2F5E3F5646D8}"/>
    <cellStyle name="40% - Ênfase2" xfId="24" builtinId="35" customBuiltin="1"/>
    <cellStyle name="40% - Ênfase2 10" xfId="213" xr:uid="{E7C6ED9E-6839-4769-939D-90D2CDDC4288}"/>
    <cellStyle name="40% - Ênfase2 11" xfId="233" xr:uid="{FFBE361B-72CA-46BE-8F6B-49486EC5DEAB}"/>
    <cellStyle name="40% - Ênfase2 12" xfId="253" xr:uid="{91118CE6-7993-47B2-850B-A48E4A8114AC}"/>
    <cellStyle name="40% - Ênfase2 13" xfId="273" xr:uid="{FC6D12C3-F144-4E17-A993-84405C300C80}"/>
    <cellStyle name="40% - Ênfase2 14" xfId="293" xr:uid="{C86A2A09-3ABA-4426-915B-3DA52ECD0427}"/>
    <cellStyle name="40% - Ênfase2 15" xfId="313" xr:uid="{83CDA05F-46AE-4C05-804B-0A591929F327}"/>
    <cellStyle name="40% - Ênfase2 16" xfId="333" xr:uid="{38A4C2CC-4458-4C36-978E-4E63FE698F93}"/>
    <cellStyle name="40% - Ênfase2 17" xfId="353" xr:uid="{F5D22288-4E0D-45E6-838F-4BDF8207169A}"/>
    <cellStyle name="40% - Ênfase2 18" xfId="373" xr:uid="{FC305002-66EE-4701-9D42-8D1AD15E586A}"/>
    <cellStyle name="40% - Ênfase2 19" xfId="394" xr:uid="{4483843E-B567-48B0-8150-C6C6763EC134}"/>
    <cellStyle name="40% - Ênfase2 2" xfId="52" xr:uid="{4C318CFE-771A-401F-9400-86108F831C79}"/>
    <cellStyle name="40% - Ênfase2 3" xfId="70" xr:uid="{CFE013BD-880C-4F67-8EA3-7D960A6F338C}"/>
    <cellStyle name="40% - Ênfase2 4" xfId="92" xr:uid="{B01FD143-6A01-41D8-95F1-7AA8397723CD}"/>
    <cellStyle name="40% - Ênfase2 5" xfId="112" xr:uid="{16F1928E-14F2-499B-B199-8E9E7913D276}"/>
    <cellStyle name="40% - Ênfase2 6" xfId="132" xr:uid="{00A074AD-C106-42E5-8686-22359B4183A4}"/>
    <cellStyle name="40% - Ênfase2 7" xfId="152" xr:uid="{C511F318-C853-4E01-A9D2-81EAE859E2D5}"/>
    <cellStyle name="40% - Ênfase2 8" xfId="172" xr:uid="{2203D119-803D-41CE-9BF3-E8708BEF40BA}"/>
    <cellStyle name="40% - Ênfase2 9" xfId="192" xr:uid="{D594E040-66E2-4779-B60B-A2ACB22BB901}"/>
    <cellStyle name="40% - Ênfase3" xfId="28" builtinId="39" customBuiltin="1"/>
    <cellStyle name="40% - Ênfase3 10" xfId="216" xr:uid="{AC09B40D-A7B1-4626-A6AC-9C0DD9D1A8E1}"/>
    <cellStyle name="40% - Ênfase3 11" xfId="236" xr:uid="{020955D9-B122-4618-991B-F54E281127C1}"/>
    <cellStyle name="40% - Ênfase3 12" xfId="256" xr:uid="{9A6A92AE-AB15-49C9-B354-C939226ABB58}"/>
    <cellStyle name="40% - Ênfase3 13" xfId="276" xr:uid="{AD7DD801-8DB0-4415-AEAE-DB26194DDAAA}"/>
    <cellStyle name="40% - Ênfase3 14" xfId="296" xr:uid="{30E66151-EBC6-4006-A65A-E41823D92DC6}"/>
    <cellStyle name="40% - Ênfase3 15" xfId="316" xr:uid="{AEA6C91A-08FF-42FB-82D2-6685C8B409CF}"/>
    <cellStyle name="40% - Ênfase3 16" xfId="336" xr:uid="{4D770CEE-C1F9-4892-9AF8-D0792663DF7A}"/>
    <cellStyle name="40% - Ênfase3 17" xfId="356" xr:uid="{DD7AAD33-5D59-45FA-BC63-1FE7ADC45B31}"/>
    <cellStyle name="40% - Ênfase3 18" xfId="376" xr:uid="{D8BE6A2A-BB01-44CE-BF15-44B3DEF09DC7}"/>
    <cellStyle name="40% - Ênfase3 19" xfId="397" xr:uid="{8A7DE6B4-EF4D-4B34-84C8-EE7DB3EEFADF}"/>
    <cellStyle name="40% - Ênfase3 2" xfId="55" xr:uid="{87D35AE8-7906-479F-A475-BC0BE320F874}"/>
    <cellStyle name="40% - Ênfase3 3" xfId="73" xr:uid="{5AC06532-7792-411D-9787-9717298ACB49}"/>
    <cellStyle name="40% - Ênfase3 4" xfId="95" xr:uid="{BF4A1F15-45E5-43D3-8667-BFEBE8EA0E26}"/>
    <cellStyle name="40% - Ênfase3 5" xfId="115" xr:uid="{7CAD3B6D-6729-4B9A-B9C9-BC936622D253}"/>
    <cellStyle name="40% - Ênfase3 6" xfId="135" xr:uid="{79BC1520-7582-4CD7-AD87-0F7C7103A0AB}"/>
    <cellStyle name="40% - Ênfase3 7" xfId="155" xr:uid="{3A43F33B-D726-4154-8B5E-ABF42F5C7921}"/>
    <cellStyle name="40% - Ênfase3 8" xfId="175" xr:uid="{1699B8F6-9908-412A-97EE-59D046A1DF7E}"/>
    <cellStyle name="40% - Ênfase3 9" xfId="195" xr:uid="{D0EF86F4-E73E-4D69-BE06-8CE0160328B8}"/>
    <cellStyle name="40% - Ênfase4" xfId="32" builtinId="43" customBuiltin="1"/>
    <cellStyle name="40% - Ênfase4 10" xfId="219" xr:uid="{807DA358-7B22-4409-9E0C-39734EB30D1F}"/>
    <cellStyle name="40% - Ênfase4 11" xfId="239" xr:uid="{816798B8-4C1B-4FB8-A5EE-9D0A3703FD6D}"/>
    <cellStyle name="40% - Ênfase4 12" xfId="259" xr:uid="{AFE55A40-D2BB-4A00-83B5-B9A8D8A7160A}"/>
    <cellStyle name="40% - Ênfase4 13" xfId="279" xr:uid="{110E278D-09C0-4F80-A016-33D6F2783FF4}"/>
    <cellStyle name="40% - Ênfase4 14" xfId="299" xr:uid="{CED5B394-0825-4C9F-8035-D4BFFCFE6802}"/>
    <cellStyle name="40% - Ênfase4 15" xfId="319" xr:uid="{7F7FEF41-91AD-4BF1-BCD9-1E57E44FE3B3}"/>
    <cellStyle name="40% - Ênfase4 16" xfId="339" xr:uid="{8B8C383A-4DAA-48BE-8072-D6088D0C0BB4}"/>
    <cellStyle name="40% - Ênfase4 17" xfId="359" xr:uid="{124983E5-AB61-4B20-922E-56AE270B3852}"/>
    <cellStyle name="40% - Ênfase4 18" xfId="379" xr:uid="{CADBFE94-60FE-419D-AEED-69D5C125EDD6}"/>
    <cellStyle name="40% - Ênfase4 19" xfId="400" xr:uid="{F2721787-584F-4CF6-9D77-5B8874D49ED0}"/>
    <cellStyle name="40% - Ênfase4 2" xfId="58" xr:uid="{5BBC8F23-E3D3-40AE-86E1-42A564D8FADE}"/>
    <cellStyle name="40% - Ênfase4 3" xfId="76" xr:uid="{B06DDB58-4C74-4D2C-B422-10120DBF5FC4}"/>
    <cellStyle name="40% - Ênfase4 4" xfId="98" xr:uid="{D72FC86E-986A-4D78-B31D-028578AB6FE8}"/>
    <cellStyle name="40% - Ênfase4 5" xfId="118" xr:uid="{692695B6-C073-4203-AE76-5DDDEF83EC43}"/>
    <cellStyle name="40% - Ênfase4 6" xfId="138" xr:uid="{16EEC10E-2A9A-4B9A-8FAE-78E9BE245A1D}"/>
    <cellStyle name="40% - Ênfase4 7" xfId="158" xr:uid="{F4C30B88-1D3A-46FA-8970-7769ED12DDD7}"/>
    <cellStyle name="40% - Ênfase4 8" xfId="178" xr:uid="{73189E3B-2DFE-48B6-A48E-DF7FAD32A2E6}"/>
    <cellStyle name="40% - Ênfase4 9" xfId="198" xr:uid="{707835E1-581D-4B49-A3D2-5353174E1A78}"/>
    <cellStyle name="40% - Ênfase5" xfId="36" builtinId="47" customBuiltin="1"/>
    <cellStyle name="40% - Ênfase5 10" xfId="222" xr:uid="{C978C854-5089-40CF-9D05-A9285379308A}"/>
    <cellStyle name="40% - Ênfase5 11" xfId="242" xr:uid="{0F685329-0EA9-4C33-A8BE-9D79D1E267D5}"/>
    <cellStyle name="40% - Ênfase5 12" xfId="262" xr:uid="{0C3CDC10-D900-4A9E-908E-9D8F07446C2E}"/>
    <cellStyle name="40% - Ênfase5 13" xfId="282" xr:uid="{9B176237-1029-4D8C-BD92-95E9AA502091}"/>
    <cellStyle name="40% - Ênfase5 14" xfId="302" xr:uid="{03D7F67A-2A1B-4CC0-9E15-104DF4EB00FA}"/>
    <cellStyle name="40% - Ênfase5 15" xfId="322" xr:uid="{0A1D8F99-5A42-4EA0-B950-DE7CD8C7265B}"/>
    <cellStyle name="40% - Ênfase5 16" xfId="342" xr:uid="{ED826953-6BD4-42EE-B452-8BEE0FFF0B83}"/>
    <cellStyle name="40% - Ênfase5 17" xfId="362" xr:uid="{AAE5B800-39B3-4C47-B18E-C1B66237FA4A}"/>
    <cellStyle name="40% - Ênfase5 18" xfId="382" xr:uid="{1CBED432-3AD6-4EA3-A0B5-5CA2B9895005}"/>
    <cellStyle name="40% - Ênfase5 19" xfId="403" xr:uid="{C2452909-50B7-496F-823D-CA090987989E}"/>
    <cellStyle name="40% - Ênfase5 2" xfId="61" xr:uid="{62682B0C-2F3B-423E-B770-52ED72B9AE04}"/>
    <cellStyle name="40% - Ênfase5 3" xfId="79" xr:uid="{DFE875B4-1D98-4C19-A839-DC708B2F861C}"/>
    <cellStyle name="40% - Ênfase5 4" xfId="101" xr:uid="{EE3BDA7C-AB24-423A-A745-C4667F64E6CF}"/>
    <cellStyle name="40% - Ênfase5 5" xfId="121" xr:uid="{17A73871-0588-402C-BE1A-EBDAA521E7E4}"/>
    <cellStyle name="40% - Ênfase5 6" xfId="141" xr:uid="{DA01FF8A-02E3-48D8-B0DC-647337A223B2}"/>
    <cellStyle name="40% - Ênfase5 7" xfId="161" xr:uid="{9A1F04E6-80FA-4B93-AE83-369396202EEE}"/>
    <cellStyle name="40% - Ênfase5 8" xfId="181" xr:uid="{BE701899-3EBB-4FF2-8A28-6899D6020987}"/>
    <cellStyle name="40% - Ênfase5 9" xfId="201" xr:uid="{B9473995-23D5-40E8-96D8-C578F9CD10F9}"/>
    <cellStyle name="40% - Ênfase6" xfId="40" builtinId="51" customBuiltin="1"/>
    <cellStyle name="40% - Ênfase6 10" xfId="225" xr:uid="{7EABF4C7-CE20-4A8A-8898-28BE2E8A8FE9}"/>
    <cellStyle name="40% - Ênfase6 11" xfId="245" xr:uid="{6751AF50-DE9A-4C22-B750-EC3F3A5A4F02}"/>
    <cellStyle name="40% - Ênfase6 12" xfId="265" xr:uid="{629CDA31-DF82-4B6A-8FB9-2FE7EAF88C6E}"/>
    <cellStyle name="40% - Ênfase6 13" xfId="285" xr:uid="{5CACC94B-C4CE-4EE9-8654-39C7B3982FC2}"/>
    <cellStyle name="40% - Ênfase6 14" xfId="305" xr:uid="{A31FD755-C0E3-46E3-8981-C4E9AB9D22CA}"/>
    <cellStyle name="40% - Ênfase6 15" xfId="325" xr:uid="{0A2C329D-0FF8-42C5-A8BC-A12C11FC9487}"/>
    <cellStyle name="40% - Ênfase6 16" xfId="345" xr:uid="{E7505FB6-7DD1-49BB-9F5B-FB72E65223BD}"/>
    <cellStyle name="40% - Ênfase6 17" xfId="365" xr:uid="{9C290815-022C-413B-9F46-214F4DE6E42B}"/>
    <cellStyle name="40% - Ênfase6 18" xfId="385" xr:uid="{D328176D-68B6-45D6-B1BA-F585483116DA}"/>
    <cellStyle name="40% - Ênfase6 19" xfId="406" xr:uid="{0FCBF7AF-C5B6-49D5-8DCD-5E519272D4C6}"/>
    <cellStyle name="40% - Ênfase6 2" xfId="64" xr:uid="{F96998BE-5311-4918-A109-9E89A326A038}"/>
    <cellStyle name="40% - Ênfase6 3" xfId="82" xr:uid="{90E080D4-570F-47A8-9A4B-F0D9661046A3}"/>
    <cellStyle name="40% - Ênfase6 4" xfId="104" xr:uid="{BD7E0B16-470F-4D35-981F-BB305507C40A}"/>
    <cellStyle name="40% - Ênfase6 5" xfId="124" xr:uid="{59EEA53F-D9A2-4199-829C-55F3A5C00B90}"/>
    <cellStyle name="40% - Ênfase6 6" xfId="144" xr:uid="{F1D871FB-6B06-4F6B-B67A-34775598A6F5}"/>
    <cellStyle name="40% - Ênfase6 7" xfId="164" xr:uid="{40784F11-863F-4EFD-A431-66E818F6E6F7}"/>
    <cellStyle name="40% - Ênfase6 8" xfId="184" xr:uid="{3B2138DE-8C84-40F2-AC09-85CFBA68D67F}"/>
    <cellStyle name="40% - Ênfase6 9" xfId="204" xr:uid="{EF0DCEBB-7785-4D5C-9651-34F8EB1F63AF}"/>
    <cellStyle name="60% - Ênfase1" xfId="21" builtinId="32" customBuiltin="1"/>
    <cellStyle name="60% - Ênfase1 10" xfId="211" xr:uid="{B0566A44-D8D1-45CE-BA13-8BCF73213941}"/>
    <cellStyle name="60% - Ênfase1 11" xfId="231" xr:uid="{70ECF996-E8E1-4458-9BEA-E9C390E27582}"/>
    <cellStyle name="60% - Ênfase1 12" xfId="251" xr:uid="{83A8D049-259C-433E-BD29-703EC92DC0EA}"/>
    <cellStyle name="60% - Ênfase1 13" xfId="271" xr:uid="{B0D1EF1E-3EA2-430F-A090-0187862DFEAB}"/>
    <cellStyle name="60% - Ênfase1 14" xfId="291" xr:uid="{ED0760E0-7535-41EC-8E9D-023E3876E7A7}"/>
    <cellStyle name="60% - Ênfase1 15" xfId="311" xr:uid="{7B663FCA-3E33-4431-AB19-A8C4E8A8AD6F}"/>
    <cellStyle name="60% - Ênfase1 16" xfId="331" xr:uid="{150FEB7E-FA35-4552-A00E-D97A52D82CB9}"/>
    <cellStyle name="60% - Ênfase1 17" xfId="351" xr:uid="{16BE6A04-CECB-424C-A683-65DEE7958685}"/>
    <cellStyle name="60% - Ênfase1 18" xfId="371" xr:uid="{AEEB019E-6612-4F04-821F-1B6CA0B6BCA3}"/>
    <cellStyle name="60% - Ênfase1 19" xfId="392" xr:uid="{D4EBC52E-FAB8-4AD9-8C34-F56E30683F98}"/>
    <cellStyle name="60% - Ênfase1 2" xfId="50" xr:uid="{CD4FF866-21AF-4358-97F0-88DED70583F9}"/>
    <cellStyle name="60% - Ênfase1 3" xfId="68" xr:uid="{2BE2E6A1-E647-462D-8142-12191978D932}"/>
    <cellStyle name="60% - Ênfase1 4" xfId="90" xr:uid="{D344C758-7AE1-4801-B3C6-B5E9B0171CC8}"/>
    <cellStyle name="60% - Ênfase1 5" xfId="110" xr:uid="{D8F3C8C6-02B0-476F-A86E-12D30528C989}"/>
    <cellStyle name="60% - Ênfase1 6" xfId="130" xr:uid="{F5EDF458-3B41-4A06-9FFB-EB0B73A8562D}"/>
    <cellStyle name="60% - Ênfase1 7" xfId="150" xr:uid="{EF2A6F47-4C91-4029-A308-8E8126FF9D45}"/>
    <cellStyle name="60% - Ênfase1 8" xfId="170" xr:uid="{8D495544-F125-435A-855D-8E7A8E21F38C}"/>
    <cellStyle name="60% - Ênfase1 9" xfId="190" xr:uid="{2C59D8A2-46DE-4348-A3E8-344CD0EC3918}"/>
    <cellStyle name="60% - Ênfase2" xfId="25" builtinId="36" customBuiltin="1"/>
    <cellStyle name="60% - Ênfase2 10" xfId="214" xr:uid="{1459F677-C133-4FFB-990A-474E1C10688C}"/>
    <cellStyle name="60% - Ênfase2 11" xfId="234" xr:uid="{86218106-C0C1-439B-A6F5-AA8BF2CCC1C4}"/>
    <cellStyle name="60% - Ênfase2 12" xfId="254" xr:uid="{81AA33D5-6CF9-455F-B438-78E5DCBE13AE}"/>
    <cellStyle name="60% - Ênfase2 13" xfId="274" xr:uid="{E8C5F26C-BB0B-4338-8561-B06160783046}"/>
    <cellStyle name="60% - Ênfase2 14" xfId="294" xr:uid="{2BFCAD29-C5A4-4041-B60D-747669CF64FF}"/>
    <cellStyle name="60% - Ênfase2 15" xfId="314" xr:uid="{02896732-8581-4618-B171-5496D73A6059}"/>
    <cellStyle name="60% - Ênfase2 16" xfId="334" xr:uid="{B12A2488-ADB1-41DA-8214-2B316D1633F7}"/>
    <cellStyle name="60% - Ênfase2 17" xfId="354" xr:uid="{C8172E0D-E9E5-47E5-B722-D59A6EA0D958}"/>
    <cellStyle name="60% - Ênfase2 18" xfId="374" xr:uid="{AD655C50-C2C7-49AC-A3D1-CF6E40A3B3C0}"/>
    <cellStyle name="60% - Ênfase2 19" xfId="395" xr:uid="{2D94C7F3-AAB6-494E-A026-89C4FD26C5A1}"/>
    <cellStyle name="60% - Ênfase2 2" xfId="53" xr:uid="{344A1050-7B76-4374-81E4-A804C420F17C}"/>
    <cellStyle name="60% - Ênfase2 3" xfId="71" xr:uid="{1C500C12-57E9-4C5C-81EF-1755ADF1F1B2}"/>
    <cellStyle name="60% - Ênfase2 4" xfId="93" xr:uid="{56922FB0-64CC-4C75-BD96-66C53C58000F}"/>
    <cellStyle name="60% - Ênfase2 5" xfId="113" xr:uid="{B28A85AB-830E-48FC-A178-A92CBD461FAC}"/>
    <cellStyle name="60% - Ênfase2 6" xfId="133" xr:uid="{54D06F7C-6032-4950-BAB5-0D01B31A3D86}"/>
    <cellStyle name="60% - Ênfase2 7" xfId="153" xr:uid="{BE842087-DA97-44EF-AA38-E0E4A8E081DC}"/>
    <cellStyle name="60% - Ênfase2 8" xfId="173" xr:uid="{63891F25-F39B-44BA-8CAB-D7BBCF147C3C}"/>
    <cellStyle name="60% - Ênfase2 9" xfId="193" xr:uid="{F8867627-44C3-4752-89CD-52A1F6800547}"/>
    <cellStyle name="60% - Ênfase3" xfId="29" builtinId="40" customBuiltin="1"/>
    <cellStyle name="60% - Ênfase3 10" xfId="217" xr:uid="{C4366C2B-2790-4A8D-A874-A9B18B1FD12D}"/>
    <cellStyle name="60% - Ênfase3 11" xfId="237" xr:uid="{1E0D6707-3FE2-471D-95F8-41384B8E26B2}"/>
    <cellStyle name="60% - Ênfase3 12" xfId="257" xr:uid="{C7DE8A84-4FBD-4957-8212-74BA640A657F}"/>
    <cellStyle name="60% - Ênfase3 13" xfId="277" xr:uid="{BCF976C8-4860-4B01-A2EC-321464EBABB8}"/>
    <cellStyle name="60% - Ênfase3 14" xfId="297" xr:uid="{A75F879F-1108-4A4A-ADBD-79308E0E4C0C}"/>
    <cellStyle name="60% - Ênfase3 15" xfId="317" xr:uid="{E2DAB973-F6D0-4FE3-82BE-381D3D5DFB75}"/>
    <cellStyle name="60% - Ênfase3 16" xfId="337" xr:uid="{0A5600A6-5C00-4632-8D84-7D0AB74061DB}"/>
    <cellStyle name="60% - Ênfase3 17" xfId="357" xr:uid="{DF0BE30A-9965-4AAF-97F7-B7402927A82A}"/>
    <cellStyle name="60% - Ênfase3 18" xfId="377" xr:uid="{9C7A306C-FFE9-45BD-904F-10A5E7C1A5A0}"/>
    <cellStyle name="60% - Ênfase3 19" xfId="398" xr:uid="{9C9A174A-9AD0-4E24-8107-F69F1411AEBC}"/>
    <cellStyle name="60% - Ênfase3 2" xfId="56" xr:uid="{D1943322-61FA-476D-A58C-D8360BD3B704}"/>
    <cellStyle name="60% - Ênfase3 3" xfId="74" xr:uid="{2F3FA7EF-E99E-40FE-87C5-74DB8942FF7A}"/>
    <cellStyle name="60% - Ênfase3 4" xfId="96" xr:uid="{779F9029-EC37-463C-967E-5AC1A1E2B4E0}"/>
    <cellStyle name="60% - Ênfase3 5" xfId="116" xr:uid="{E5508040-1062-46C4-9734-6A198E731AFE}"/>
    <cellStyle name="60% - Ênfase3 6" xfId="136" xr:uid="{7560D1F1-1C7D-4728-A2E3-4D96A45ED656}"/>
    <cellStyle name="60% - Ênfase3 7" xfId="156" xr:uid="{27921D73-D5DF-4A32-B84B-A79AA160B4B5}"/>
    <cellStyle name="60% - Ênfase3 8" xfId="176" xr:uid="{6D89F47B-9008-47AE-B2F6-6EF94AC7AF80}"/>
    <cellStyle name="60% - Ênfase3 9" xfId="196" xr:uid="{136D1933-C249-453E-85AA-622A6450F3F7}"/>
    <cellStyle name="60% - Ênfase4" xfId="33" builtinId="44" customBuiltin="1"/>
    <cellStyle name="60% - Ênfase4 10" xfId="220" xr:uid="{778D4311-E982-4710-9267-E97BE6572A16}"/>
    <cellStyle name="60% - Ênfase4 11" xfId="240" xr:uid="{41B3C81D-BD58-4BE2-AFC7-1CA0977B1CF5}"/>
    <cellStyle name="60% - Ênfase4 12" xfId="260" xr:uid="{E21AC99E-6401-4AD0-B2A3-A6596A81D804}"/>
    <cellStyle name="60% - Ênfase4 13" xfId="280" xr:uid="{BFBCE691-0163-405A-85D7-98ADADCB5506}"/>
    <cellStyle name="60% - Ênfase4 14" xfId="300" xr:uid="{8185C065-D6D0-49C7-BCF2-613442950815}"/>
    <cellStyle name="60% - Ênfase4 15" xfId="320" xr:uid="{5BB77D66-ECE4-42CF-91FC-718DD2402E34}"/>
    <cellStyle name="60% - Ênfase4 16" xfId="340" xr:uid="{AE9606E6-43BE-410C-B28E-DD37A1E73E3B}"/>
    <cellStyle name="60% - Ênfase4 17" xfId="360" xr:uid="{024E863A-17BF-418F-A764-6E4ADBFFD3D0}"/>
    <cellStyle name="60% - Ênfase4 18" xfId="380" xr:uid="{53672243-CC99-4680-9718-B63B80299AF4}"/>
    <cellStyle name="60% - Ênfase4 19" xfId="401" xr:uid="{3CD40C24-0BBD-4BD2-8A86-C2E8D6674CB9}"/>
    <cellStyle name="60% - Ênfase4 2" xfId="59" xr:uid="{2130D04D-1BD6-433B-B0F7-B86AAFEEB3E4}"/>
    <cellStyle name="60% - Ênfase4 3" xfId="77" xr:uid="{0205D19B-F927-407A-8C50-B14384A3A7D7}"/>
    <cellStyle name="60% - Ênfase4 4" xfId="99" xr:uid="{A39D81CA-98FF-4932-9B33-8D38D5392986}"/>
    <cellStyle name="60% - Ênfase4 5" xfId="119" xr:uid="{7FD86E78-A188-4726-8569-F106868CDAF7}"/>
    <cellStyle name="60% - Ênfase4 6" xfId="139" xr:uid="{0B6F4078-E7C7-4AA4-8FC3-02E93017F86A}"/>
    <cellStyle name="60% - Ênfase4 7" xfId="159" xr:uid="{468CA77E-6BF2-4075-A34D-4C62FBDA5516}"/>
    <cellStyle name="60% - Ênfase4 8" xfId="179" xr:uid="{C0432EA6-9F5D-430E-ADF6-F249B7198804}"/>
    <cellStyle name="60% - Ênfase4 9" xfId="199" xr:uid="{2C01A15F-426A-46E7-B001-60EC1E58A3AE}"/>
    <cellStyle name="60% - Ênfase5" xfId="37" builtinId="48" customBuiltin="1"/>
    <cellStyle name="60% - Ênfase5 10" xfId="223" xr:uid="{3925D622-F3CA-41EC-A3D1-B58CD0E9FF8C}"/>
    <cellStyle name="60% - Ênfase5 11" xfId="243" xr:uid="{2E7E64E3-48C6-4BA9-A3C3-9CF78A24A72D}"/>
    <cellStyle name="60% - Ênfase5 12" xfId="263" xr:uid="{7E0BD91F-DF04-4269-BCBF-E0A9B3CD0972}"/>
    <cellStyle name="60% - Ênfase5 13" xfId="283" xr:uid="{58382F24-7965-459D-8B50-056ED557A069}"/>
    <cellStyle name="60% - Ênfase5 14" xfId="303" xr:uid="{0D18E2E5-59BB-44E6-93F1-113D01B77BBF}"/>
    <cellStyle name="60% - Ênfase5 15" xfId="323" xr:uid="{6CC25E64-76FA-4A84-9848-4E343C8DE42E}"/>
    <cellStyle name="60% - Ênfase5 16" xfId="343" xr:uid="{AC4FA9D7-1871-4034-8CF9-5ABDC0656F98}"/>
    <cellStyle name="60% - Ênfase5 17" xfId="363" xr:uid="{54D2CB9E-8163-43A5-839F-332E94294BE2}"/>
    <cellStyle name="60% - Ênfase5 18" xfId="383" xr:uid="{2EE35017-092C-4C31-A592-14CF9CB19E1A}"/>
    <cellStyle name="60% - Ênfase5 19" xfId="404" xr:uid="{B95C0403-1C0C-471F-BC5B-6B6F5EB65DF3}"/>
    <cellStyle name="60% - Ênfase5 2" xfId="62" xr:uid="{DF2ED57F-96F7-4E85-9687-E7574EE29AFC}"/>
    <cellStyle name="60% - Ênfase5 3" xfId="80" xr:uid="{5075A413-51B8-4E2B-A9D9-E86E581C993E}"/>
    <cellStyle name="60% - Ênfase5 4" xfId="102" xr:uid="{C4A8E158-DEE2-4DB8-B7BB-38DF5D04C5A3}"/>
    <cellStyle name="60% - Ênfase5 5" xfId="122" xr:uid="{60A286A2-0016-4418-8EAC-06111515CBEB}"/>
    <cellStyle name="60% - Ênfase5 6" xfId="142" xr:uid="{FD6B0FA1-9FB2-4B72-AF62-7373890248AC}"/>
    <cellStyle name="60% - Ênfase5 7" xfId="162" xr:uid="{90B3B0BD-ED3C-4607-AEC3-66AFA5B29B99}"/>
    <cellStyle name="60% - Ênfase5 8" xfId="182" xr:uid="{FF86613A-CA67-4E99-B12A-6A3C857CC2ED}"/>
    <cellStyle name="60% - Ênfase5 9" xfId="202" xr:uid="{3A60CEA0-3848-453B-BDEC-9E2BFD78F66E}"/>
    <cellStyle name="60% - Ênfase6" xfId="41" builtinId="52" customBuiltin="1"/>
    <cellStyle name="60% - Ênfase6 10" xfId="226" xr:uid="{6225AB77-2740-4793-85FE-551DB2A695F5}"/>
    <cellStyle name="60% - Ênfase6 11" xfId="246" xr:uid="{B5092919-ED35-42DB-8AD5-251D7C79E6F8}"/>
    <cellStyle name="60% - Ênfase6 12" xfId="266" xr:uid="{48CDF5E4-AAFC-483F-A2A7-47FD1FCC5629}"/>
    <cellStyle name="60% - Ênfase6 13" xfId="286" xr:uid="{B5BC78E9-9258-410D-A597-AF7A0B783272}"/>
    <cellStyle name="60% - Ênfase6 14" xfId="306" xr:uid="{3420984C-38BD-4382-A917-B4BD37648EF4}"/>
    <cellStyle name="60% - Ênfase6 15" xfId="326" xr:uid="{24B8434E-94D4-4E5B-B9F5-AFEC4B38B15F}"/>
    <cellStyle name="60% - Ênfase6 16" xfId="346" xr:uid="{EE471DA7-0D02-4704-8134-15306868ED40}"/>
    <cellStyle name="60% - Ênfase6 17" xfId="366" xr:uid="{9C1930C4-5676-4AF6-8708-145403D46055}"/>
    <cellStyle name="60% - Ênfase6 18" xfId="386" xr:uid="{FF7791D5-96D2-4DDB-912B-859C9EDB46BD}"/>
    <cellStyle name="60% - Ênfase6 19" xfId="407" xr:uid="{97F37B63-22DB-4EF0-9A23-7A7AADEAA7B3}"/>
    <cellStyle name="60% - Ênfase6 2" xfId="65" xr:uid="{C55D68AA-8A2A-4AD3-8BC5-6C05280DD56A}"/>
    <cellStyle name="60% - Ênfase6 3" xfId="83" xr:uid="{3FEF1C19-F1DA-47B6-AB26-28442B5060AD}"/>
    <cellStyle name="60% - Ênfase6 4" xfId="105" xr:uid="{FB7C8B97-77BB-4619-86B6-4F526F479447}"/>
    <cellStyle name="60% - Ênfase6 5" xfId="125" xr:uid="{DB2CF7E6-49B1-4D9E-A4D4-AA11BF3AF866}"/>
    <cellStyle name="60% - Ênfase6 6" xfId="145" xr:uid="{2E6946B1-513D-4D3E-884A-E72C97A8D59C}"/>
    <cellStyle name="60% - Ênfase6 7" xfId="165" xr:uid="{CBBF0C25-204F-415E-8000-59FBA9E26135}"/>
    <cellStyle name="60% - Ênfase6 8" xfId="185" xr:uid="{410F4A87-C8B3-49C4-837C-A50C55F9E84C}"/>
    <cellStyle name="60% - Ênfase6 9" xfId="205" xr:uid="{3C2085CB-3423-472C-92CE-39DC1485CC87}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10" builtinId="20" customBuiltin="1"/>
    <cellStyle name="Moeda" xfId="1" builtinId="4"/>
    <cellStyle name="Moeda 2" xfId="206" xr:uid="{5FA8F38D-AB16-4591-955F-208BCF4363A8}"/>
    <cellStyle name="Moeda 3" xfId="43" xr:uid="{C5A02174-BCC2-411E-ABBF-F9B3D4480358}"/>
    <cellStyle name="Neutro" xfId="9" builtinId="28" customBuiltin="1"/>
    <cellStyle name="Normal" xfId="0" builtinId="0"/>
    <cellStyle name="Normal 10" xfId="207" xr:uid="{1208A476-C534-4B4E-A1F5-B198569F21C9}"/>
    <cellStyle name="Normal 11" xfId="227" xr:uid="{0CF1BCEF-0F72-4939-9BAA-FBA101AE9EBD}"/>
    <cellStyle name="Normal 12" xfId="247" xr:uid="{C3405B65-B69C-4677-8F06-9164801E4426}"/>
    <cellStyle name="Normal 13" xfId="267" xr:uid="{60E578FB-D5E1-46E4-A2C1-44B54D4FE681}"/>
    <cellStyle name="Normal 14" xfId="287" xr:uid="{04DFB4EE-8B0C-42E5-BAFE-5E9C1852ED35}"/>
    <cellStyle name="Normal 15" xfId="307" xr:uid="{DB7F17A3-966D-47DE-B6DD-040CB41AA527}"/>
    <cellStyle name="Normal 16" xfId="327" xr:uid="{A56F87C7-6A0E-45E7-978D-A7DAB546810B}"/>
    <cellStyle name="Normal 17" xfId="347" xr:uid="{358002A7-6C1F-4C54-B6B9-7AAFE3849437}"/>
    <cellStyle name="Normal 18" xfId="367" xr:uid="{1A88A61B-8E43-4DE5-8D99-5E599DE9D9BA}"/>
    <cellStyle name="Normal 19" xfId="387" xr:uid="{A76AE9A7-BEB9-4215-AD9E-63508E9773A5}"/>
    <cellStyle name="Normal 2" xfId="44" xr:uid="{AFF8CA64-B271-4C4F-AADB-B787B1B4A55E}"/>
    <cellStyle name="Normal 2 2" xfId="84" xr:uid="{31517214-851D-42FC-BB6E-06FABF7C8D8A}"/>
    <cellStyle name="Normal 20" xfId="388" xr:uid="{6DB35326-81A6-47CF-8575-123524F2D3BA}"/>
    <cellStyle name="Normal 21" xfId="42" xr:uid="{E91DE3FC-474D-486C-A2E2-87C69540559C}"/>
    <cellStyle name="Normal 3" xfId="46" xr:uid="{68F2D267-21A7-42C2-A1A3-0851A79A616B}"/>
    <cellStyle name="Normal 4" xfId="86" xr:uid="{F60E5468-1F61-4CC5-AD9E-A5198ED7D911}"/>
    <cellStyle name="Normal 5" xfId="106" xr:uid="{582246C5-FCDA-4451-961C-3092266D5E5A}"/>
    <cellStyle name="Normal 6" xfId="126" xr:uid="{85DE4FDB-DC34-4E1B-A26B-FE1EE7743768}"/>
    <cellStyle name="Normal 7" xfId="146" xr:uid="{CF45E589-3CA9-49DD-B4E9-D84D5A17DF67}"/>
    <cellStyle name="Normal 8" xfId="166" xr:uid="{0C9D1FEF-185D-4E60-A9B8-2EDB87F85F27}"/>
    <cellStyle name="Normal 9" xfId="186" xr:uid="{93673D62-1338-467F-8F2F-CB5663CA5A1E}"/>
    <cellStyle name="Nota 10" xfId="208" xr:uid="{2D95387B-8DE8-4B58-895F-C7FB765D7B17}"/>
    <cellStyle name="Nota 11" xfId="228" xr:uid="{B1156C00-684F-43F9-AB0B-0B7191AF987E}"/>
    <cellStyle name="Nota 12" xfId="248" xr:uid="{B737A363-E128-44A7-A84D-481DA441E358}"/>
    <cellStyle name="Nota 13" xfId="268" xr:uid="{820B805B-E129-4193-9804-ACF999C42D6D}"/>
    <cellStyle name="Nota 14" xfId="288" xr:uid="{E9BC9E68-6A50-4739-9D00-E8C64DAA4954}"/>
    <cellStyle name="Nota 15" xfId="308" xr:uid="{825EDFFC-33FB-4CF5-8207-5DB3DA112614}"/>
    <cellStyle name="Nota 16" xfId="328" xr:uid="{445AB58E-2364-4A94-95BA-6891E5310651}"/>
    <cellStyle name="Nota 17" xfId="348" xr:uid="{104237DD-92ED-4E61-AD47-60CEF612CC34}"/>
    <cellStyle name="Nota 18" xfId="368" xr:uid="{CF02C664-CA9D-4B36-B826-883093281FEB}"/>
    <cellStyle name="Nota 19" xfId="389" xr:uid="{76885A41-ED1F-4E72-B9CC-17161E227BF6}"/>
    <cellStyle name="Nota 2" xfId="45" xr:uid="{788AC54C-2143-4AE7-BA4E-6CE07CA1814E}"/>
    <cellStyle name="Nota 2 2" xfId="85" xr:uid="{589180C9-8236-4708-8E41-8EC446FBE819}"/>
    <cellStyle name="Nota 3" xfId="47" xr:uid="{93BE2087-8A36-465E-835B-4CA803E32192}"/>
    <cellStyle name="Nota 4" xfId="87" xr:uid="{C32BA31F-B1DB-48A0-A513-0C4564A72477}"/>
    <cellStyle name="Nota 5" xfId="107" xr:uid="{6DB57B39-6F45-476A-BC0C-BA04D25C8124}"/>
    <cellStyle name="Nota 6" xfId="127" xr:uid="{AEA7D9B9-2990-4CBC-ABAD-B15B1B27BD95}"/>
    <cellStyle name="Nota 7" xfId="147" xr:uid="{26DB5F18-842A-45D2-B5A0-9F4B7516B5A2}"/>
    <cellStyle name="Nota 8" xfId="167" xr:uid="{A2CB2ED6-AEAD-4512-845D-B5DBE074A832}"/>
    <cellStyle name="Nota 9" xfId="187" xr:uid="{9B203924-BAF8-4AD9-A567-4195D1A58123}"/>
    <cellStyle name="Ruim" xfId="8" builtinId="27" customBuiltin="1"/>
    <cellStyle name="Saída" xfId="11" builtinId="21" customBuiltin="1"/>
    <cellStyle name="Texto de Aviso" xfId="15" builtinId="11" customBuiltin="1"/>
    <cellStyle name="Texto Explicativo" xfId="16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7" builtinId="25" customBuiltin="1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4"/>
  <sheetViews>
    <sheetView topLeftCell="D1" zoomScale="99" workbookViewId="0">
      <selection sqref="A1:R1"/>
    </sheetView>
  </sheetViews>
  <sheetFormatPr defaultRowHeight="15.6" x14ac:dyDescent="0.3"/>
  <sheetData>
    <row r="1" spans="1:18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2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4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</sheetData>
  <mergeCells count="7">
    <mergeCell ref="A12:N12"/>
    <mergeCell ref="A13:N14"/>
    <mergeCell ref="A1:R1"/>
    <mergeCell ref="A4:N4"/>
    <mergeCell ref="A5:N6"/>
    <mergeCell ref="A8:N8"/>
    <mergeCell ref="A9:N10"/>
  </mergeCells>
  <pageMargins left="0.7" right="0.7" top="0.75" bottom="0.75" header="0.3" footer="0.3"/>
  <ignoredErrors>
    <ignoredError sqref="A1:R1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4"/>
  <sheetViews>
    <sheetView workbookViewId="0">
      <selection sqref="A1:R1"/>
    </sheetView>
  </sheetViews>
  <sheetFormatPr defaultRowHeight="15.6" x14ac:dyDescent="0.3"/>
  <sheetData>
    <row r="1" spans="1:18" x14ac:dyDescent="0.3">
      <c r="A1" s="1" t="s">
        <v>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8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9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10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</sheetData>
  <mergeCells count="7">
    <mergeCell ref="A13:N14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1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4"/>
  <sheetViews>
    <sheetView workbookViewId="0">
      <selection sqref="A1:R1"/>
    </sheetView>
  </sheetViews>
  <sheetFormatPr defaultRowHeight="15.6" x14ac:dyDescent="0.3"/>
  <sheetData>
    <row r="1" spans="1:18" x14ac:dyDescent="0.3">
      <c r="A1" s="1" t="s">
        <v>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12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13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14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x14ac:dyDescent="0.3">
      <c r="A18">
        <v>34108</v>
      </c>
      <c r="B18" t="s">
        <v>27</v>
      </c>
      <c r="C18">
        <f t="shared" ref="C18:C24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1211</v>
      </c>
      <c r="D18" t="s">
        <v>28</v>
      </c>
      <c r="E18" t="s">
        <v>29</v>
      </c>
      <c r="F18" t="e" cm="1">
        <f t="array" aca="1" ref="F18" ca="1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#NAME?</v>
      </c>
      <c r="G18" t="s">
        <v>30</v>
      </c>
      <c r="H18" t="s">
        <v>31</v>
      </c>
      <c r="I18">
        <v>46195</v>
      </c>
      <c r="J18" t="s">
        <v>32</v>
      </c>
      <c r="K18">
        <v>215.8</v>
      </c>
    </row>
    <row r="19" spans="1:11" x14ac:dyDescent="0.3">
      <c r="A19">
        <v>31773</v>
      </c>
      <c r="B19" t="s">
        <v>27</v>
      </c>
      <c r="C19">
        <f t="shared" si="0"/>
        <v>1575</v>
      </c>
      <c r="D19" t="s">
        <v>33</v>
      </c>
      <c r="E19" t="s">
        <v>29</v>
      </c>
      <c r="F19" t="e" cm="1">
        <f t="array" aca="1" ref="F19" ca="1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#NAME?</v>
      </c>
      <c r="G19" t="s">
        <v>30</v>
      </c>
      <c r="H19" t="s">
        <v>31</v>
      </c>
      <c r="I19">
        <v>46195</v>
      </c>
      <c r="J19" t="s">
        <v>32</v>
      </c>
      <c r="K19">
        <v>165.8</v>
      </c>
    </row>
    <row r="20" spans="1:11" x14ac:dyDescent="0.3">
      <c r="A20">
        <v>28483</v>
      </c>
      <c r="B20" t="s">
        <v>27</v>
      </c>
      <c r="C20">
        <f t="shared" si="0"/>
        <v>1575</v>
      </c>
      <c r="D20" t="s">
        <v>33</v>
      </c>
      <c r="E20" t="s">
        <v>29</v>
      </c>
      <c r="F20" t="e" cm="1">
        <f t="array" aca="1" ref="F20" ca="1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#NAME?</v>
      </c>
      <c r="G20" t="s">
        <v>30</v>
      </c>
      <c r="H20" t="s">
        <v>31</v>
      </c>
      <c r="I20">
        <v>46195</v>
      </c>
      <c r="J20" t="s">
        <v>34</v>
      </c>
      <c r="K20" t="s">
        <v>35</v>
      </c>
    </row>
    <row r="21" spans="1:11" x14ac:dyDescent="0.3">
      <c r="A21">
        <v>38271</v>
      </c>
      <c r="B21" t="s">
        <v>27</v>
      </c>
      <c r="C21">
        <f t="shared" si="0"/>
        <v>1575</v>
      </c>
      <c r="D21" t="s">
        <v>33</v>
      </c>
      <c r="E21" t="s">
        <v>29</v>
      </c>
      <c r="F21" t="e" cm="1">
        <f t="array" aca="1" ref="F21" ca="1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#NAME?</v>
      </c>
      <c r="G21" t="s">
        <v>30</v>
      </c>
      <c r="H21" t="s">
        <v>31</v>
      </c>
      <c r="I21">
        <v>46195</v>
      </c>
      <c r="J21" t="s">
        <v>34</v>
      </c>
      <c r="K21" t="s">
        <v>35</v>
      </c>
    </row>
    <row r="22" spans="1:11" x14ac:dyDescent="0.3">
      <c r="A22">
        <v>42764</v>
      </c>
      <c r="B22" t="s">
        <v>27</v>
      </c>
      <c r="C22">
        <f t="shared" si="0"/>
        <v>1575</v>
      </c>
      <c r="D22" t="s">
        <v>33</v>
      </c>
      <c r="E22" t="s">
        <v>29</v>
      </c>
      <c r="F22" t="e" cm="1">
        <f t="array" aca="1" ref="F22" ca="1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#NAME?</v>
      </c>
      <c r="G22" t="s">
        <v>30</v>
      </c>
      <c r="H22" t="s">
        <v>31</v>
      </c>
      <c r="I22">
        <v>46195</v>
      </c>
      <c r="J22" t="s">
        <v>34</v>
      </c>
    </row>
    <row r="23" spans="1:11" x14ac:dyDescent="0.3">
      <c r="A23">
        <v>39696</v>
      </c>
      <c r="B23" t="s">
        <v>27</v>
      </c>
      <c r="C23">
        <f t="shared" si="0"/>
        <v>1575</v>
      </c>
      <c r="D23" t="s">
        <v>33</v>
      </c>
      <c r="E23" t="s">
        <v>29</v>
      </c>
      <c r="F23" t="e" cm="1">
        <f t="array" aca="1" ref="F23" ca="1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#NAME?</v>
      </c>
      <c r="G23" t="s">
        <v>30</v>
      </c>
      <c r="H23" t="s">
        <v>31</v>
      </c>
      <c r="I23">
        <v>46195</v>
      </c>
      <c r="J23" t="s">
        <v>34</v>
      </c>
    </row>
    <row r="24" spans="1:11" x14ac:dyDescent="0.3">
      <c r="A24">
        <v>22921</v>
      </c>
      <c r="B24" t="s">
        <v>27</v>
      </c>
      <c r="C24">
        <f t="shared" si="0"/>
        <v>1575</v>
      </c>
      <c r="D24" t="s">
        <v>33</v>
      </c>
      <c r="E24" t="s">
        <v>29</v>
      </c>
      <c r="F24" t="e" cm="1">
        <f t="array" aca="1" ref="F24" ca="1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#NAME?</v>
      </c>
      <c r="G24" t="s">
        <v>30</v>
      </c>
      <c r="H24" t="s">
        <v>31</v>
      </c>
      <c r="I24">
        <v>46195</v>
      </c>
      <c r="J24" t="s">
        <v>34</v>
      </c>
    </row>
  </sheetData>
  <mergeCells count="8">
    <mergeCell ref="A12:N12"/>
    <mergeCell ref="A13:N14"/>
    <mergeCell ref="A16:R16"/>
    <mergeCell ref="A1:R1"/>
    <mergeCell ref="A4:N4"/>
    <mergeCell ref="A5:N6"/>
    <mergeCell ref="A8:N8"/>
    <mergeCell ref="A9:N10"/>
  </mergeCells>
  <pageMargins left="0.7" right="0.7" top="0.75" bottom="0.75" header="0.3" footer="0.3"/>
  <ignoredErrors>
    <ignoredError sqref="A1:R2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"/>
  <sheetViews>
    <sheetView zoomScale="98" workbookViewId="0">
      <selection activeCell="G25" sqref="G25"/>
    </sheetView>
  </sheetViews>
  <sheetFormatPr defaultRowHeight="15.6" x14ac:dyDescent="0.3"/>
  <sheetData>
    <row r="1" spans="1:18" x14ac:dyDescent="0.3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37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9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38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x14ac:dyDescent="0.3">
      <c r="A18">
        <v>40089</v>
      </c>
      <c r="B18" t="s">
        <v>27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9886</v>
      </c>
      <c r="D18" t="s">
        <v>39</v>
      </c>
      <c r="E18" t="s">
        <v>29</v>
      </c>
      <c r="F18" t="e" cm="1">
        <f t="array" aca="1" ref="F18" ca="1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#NAME?</v>
      </c>
      <c r="G18" t="s">
        <v>30</v>
      </c>
      <c r="H18" t="s">
        <v>40</v>
      </c>
      <c r="I18">
        <v>46196</v>
      </c>
      <c r="J18" t="s">
        <v>34</v>
      </c>
    </row>
    <row r="19" spans="1:11" x14ac:dyDescent="0.3">
      <c r="A19">
        <v>39025</v>
      </c>
      <c r="B19" t="s">
        <v>27</v>
      </c>
      <c r="C19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1575</v>
      </c>
      <c r="D19" t="s">
        <v>33</v>
      </c>
      <c r="E19" t="s">
        <v>29</v>
      </c>
      <c r="F19" t="e" cm="1">
        <f t="array" aca="1" ref="F19" ca="1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#NAME?</v>
      </c>
      <c r="G19" t="s">
        <v>30</v>
      </c>
      <c r="H19" t="s">
        <v>40</v>
      </c>
      <c r="I19">
        <v>46196</v>
      </c>
      <c r="J19" t="s">
        <v>34</v>
      </c>
    </row>
    <row r="20" spans="1:11" x14ac:dyDescent="0.3">
      <c r="A20">
        <v>42866</v>
      </c>
      <c r="B20" t="s">
        <v>27</v>
      </c>
      <c r="C20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6127</v>
      </c>
      <c r="D20" t="s">
        <v>41</v>
      </c>
      <c r="E20" t="s">
        <v>29</v>
      </c>
      <c r="F20" t="e" cm="1">
        <f t="array" aca="1" ref="F20" ca="1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#NAME?</v>
      </c>
      <c r="G20" t="s">
        <v>42</v>
      </c>
      <c r="H20" t="s">
        <v>40</v>
      </c>
      <c r="I20">
        <v>46196</v>
      </c>
      <c r="J20" t="s">
        <v>32</v>
      </c>
      <c r="K20">
        <v>926.8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2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40"/>
  <sheetViews>
    <sheetView topLeftCell="A23" workbookViewId="0">
      <selection sqref="A1:R1"/>
    </sheetView>
  </sheetViews>
  <sheetFormatPr defaultRowHeight="15.6" x14ac:dyDescent="0.3"/>
  <cols>
    <col min="6" max="6" width="8.09765625" bestFit="1" customWidth="1"/>
  </cols>
  <sheetData>
    <row r="1" spans="1:18" x14ac:dyDescent="0.3">
      <c r="A1" s="1" t="s">
        <v>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44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45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46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5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5" x14ac:dyDescent="0.3">
      <c r="A18">
        <v>35805</v>
      </c>
      <c r="B18" t="s">
        <v>27</v>
      </c>
      <c r="C18">
        <f t="shared" ref="C18:C39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1504</v>
      </c>
      <c r="D18" t="s">
        <v>47</v>
      </c>
      <c r="E18" t="s">
        <v>48</v>
      </c>
      <c r="F18" t="e" cm="1">
        <f t="array" aca="1" ref="F18" ca="1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#NAME?</v>
      </c>
      <c r="G18" t="s">
        <v>49</v>
      </c>
      <c r="H18" t="s">
        <v>50</v>
      </c>
      <c r="I18">
        <v>46197</v>
      </c>
      <c r="J18" t="s">
        <v>34</v>
      </c>
      <c r="N18">
        <f>7000*0.12</f>
        <v>840</v>
      </c>
    </row>
    <row r="19" spans="1:15" x14ac:dyDescent="0.3">
      <c r="A19">
        <v>33273</v>
      </c>
      <c r="B19" t="s">
        <v>27</v>
      </c>
      <c r="C19">
        <f t="shared" si="0"/>
        <v>1328</v>
      </c>
      <c r="D19" t="s">
        <v>51</v>
      </c>
      <c r="E19" t="s">
        <v>48</v>
      </c>
      <c r="F19" t="e" cm="1">
        <f t="array" aca="1" ref="F19" ca="1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#NAME?</v>
      </c>
      <c r="G19" t="s">
        <v>52</v>
      </c>
      <c r="H19" t="s">
        <v>50</v>
      </c>
      <c r="I19">
        <v>46197</v>
      </c>
      <c r="J19" t="s">
        <v>34</v>
      </c>
      <c r="M19">
        <f>22/183</f>
        <v>0.12021857923497267</v>
      </c>
    </row>
    <row r="20" spans="1:15" x14ac:dyDescent="0.3">
      <c r="A20">
        <v>41838</v>
      </c>
      <c r="B20" t="s">
        <v>27</v>
      </c>
      <c r="C20">
        <f t="shared" si="0"/>
        <v>1525</v>
      </c>
      <c r="D20" t="s">
        <v>53</v>
      </c>
      <c r="E20" t="s">
        <v>48</v>
      </c>
      <c r="F20" t="e" cm="1">
        <f t="array" aca="1" ref="F20" ca="1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#NAME?</v>
      </c>
      <c r="G20" t="s">
        <v>54</v>
      </c>
      <c r="H20" t="s">
        <v>50</v>
      </c>
      <c r="I20">
        <v>46197</v>
      </c>
      <c r="J20" t="s">
        <v>34</v>
      </c>
      <c r="O20">
        <f>840*3000</f>
        <v>2520000</v>
      </c>
    </row>
    <row r="21" spans="1:15" x14ac:dyDescent="0.3">
      <c r="A21">
        <v>45509</v>
      </c>
      <c r="B21" t="s">
        <v>27</v>
      </c>
      <c r="C21">
        <f t="shared" si="0"/>
        <v>1581</v>
      </c>
      <c r="D21" t="s">
        <v>55</v>
      </c>
      <c r="E21" t="s">
        <v>48</v>
      </c>
      <c r="F21" t="e" cm="1">
        <f t="array" aca="1" ref="F21" ca="1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#NAME?</v>
      </c>
      <c r="G21" t="s">
        <v>56</v>
      </c>
      <c r="H21" t="s">
        <v>50</v>
      </c>
      <c r="I21">
        <v>46197</v>
      </c>
      <c r="J21" t="s">
        <v>32</v>
      </c>
      <c r="K21">
        <v>21.89</v>
      </c>
    </row>
    <row r="22" spans="1:15" x14ac:dyDescent="0.3">
      <c r="A22">
        <v>33133</v>
      </c>
      <c r="B22" t="s">
        <v>27</v>
      </c>
      <c r="C22">
        <f t="shared" si="0"/>
        <v>1234</v>
      </c>
      <c r="D22" t="s">
        <v>57</v>
      </c>
      <c r="E22" t="s">
        <v>48</v>
      </c>
      <c r="F22" t="e" cm="1">
        <f t="array" aca="1" ref="F22" ca="1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#NAME?</v>
      </c>
      <c r="G22" t="s">
        <v>56</v>
      </c>
      <c r="H22" t="s">
        <v>50</v>
      </c>
      <c r="I22">
        <v>46197</v>
      </c>
      <c r="J22" t="s">
        <v>32</v>
      </c>
      <c r="K22">
        <v>806.09</v>
      </c>
    </row>
    <row r="23" spans="1:15" x14ac:dyDescent="0.3">
      <c r="A23">
        <v>15571</v>
      </c>
      <c r="B23" t="s">
        <v>27</v>
      </c>
      <c r="C23">
        <f t="shared" si="0"/>
        <v>9937</v>
      </c>
      <c r="D23" t="s">
        <v>58</v>
      </c>
      <c r="E23" t="s">
        <v>48</v>
      </c>
      <c r="F23" t="e" cm="1">
        <f t="array" aca="1" ref="F23" ca="1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#NAME?</v>
      </c>
      <c r="G23" t="s">
        <v>54</v>
      </c>
      <c r="H23" t="s">
        <v>50</v>
      </c>
      <c r="I23">
        <v>46197</v>
      </c>
      <c r="J23" t="s">
        <v>32</v>
      </c>
      <c r="K23">
        <v>188.51</v>
      </c>
    </row>
    <row r="24" spans="1:15" x14ac:dyDescent="0.3">
      <c r="A24">
        <v>28658</v>
      </c>
      <c r="B24" t="s">
        <v>27</v>
      </c>
      <c r="C24">
        <f t="shared" si="0"/>
        <v>9937</v>
      </c>
      <c r="D24" t="s">
        <v>58</v>
      </c>
      <c r="E24" t="s">
        <v>48</v>
      </c>
      <c r="F24" t="e" cm="1">
        <f t="array" aca="1" ref="F24" ca="1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#NAME?</v>
      </c>
      <c r="G24" t="s">
        <v>54</v>
      </c>
      <c r="H24" t="s">
        <v>50</v>
      </c>
      <c r="I24">
        <v>46197</v>
      </c>
      <c r="J24" t="s">
        <v>34</v>
      </c>
    </row>
    <row r="25" spans="1:15" x14ac:dyDescent="0.3">
      <c r="A25">
        <v>2753</v>
      </c>
      <c r="B25" t="s">
        <v>27</v>
      </c>
      <c r="C25">
        <f t="shared" si="0"/>
        <v>1518</v>
      </c>
      <c r="D25" t="s">
        <v>59</v>
      </c>
      <c r="E25" t="s">
        <v>48</v>
      </c>
      <c r="F25" t="e" cm="1">
        <f t="array" aca="1" ref="F25" ca="1">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#NAME?</v>
      </c>
      <c r="G25" t="s">
        <v>56</v>
      </c>
      <c r="H25" t="s">
        <v>50</v>
      </c>
      <c r="I25">
        <v>46197</v>
      </c>
      <c r="J25" t="s">
        <v>34</v>
      </c>
    </row>
    <row r="26" spans="1:15" x14ac:dyDescent="0.3">
      <c r="A26">
        <v>43676</v>
      </c>
      <c r="B26" t="s">
        <v>27</v>
      </c>
      <c r="C26">
        <f t="shared" si="0"/>
        <v>9863</v>
      </c>
      <c r="D26" t="s">
        <v>60</v>
      </c>
      <c r="E26" t="s">
        <v>48</v>
      </c>
      <c r="F26" t="e" cm="1">
        <f t="array" aca="1" ref="F26" ca="1">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#NAME?</v>
      </c>
      <c r="G26" t="s">
        <v>52</v>
      </c>
      <c r="H26" t="s">
        <v>50</v>
      </c>
      <c r="I26">
        <v>46197</v>
      </c>
      <c r="J26" t="s">
        <v>32</v>
      </c>
      <c r="K26">
        <v>537.24</v>
      </c>
    </row>
    <row r="27" spans="1:15" x14ac:dyDescent="0.3">
      <c r="A27">
        <v>16379</v>
      </c>
      <c r="B27" t="s">
        <v>27</v>
      </c>
      <c r="C27">
        <f t="shared" si="0"/>
        <v>9863</v>
      </c>
      <c r="D27" t="s">
        <v>60</v>
      </c>
      <c r="E27" t="s">
        <v>48</v>
      </c>
      <c r="F27" t="e" cm="1">
        <f t="array" aca="1" ref="F27" ca="1">IFS(
D27="Andreia Lopes","Serra",
D27="Arlecio Lindemann","Sul",
D27="Dionis Jose","Vale dos Sinos",
D27="Douglas Montagna","Grande POA",
D27="Elisiane Lambrechtt","Grande POA",
D27="Gislaine Muller","Vale dos Sinos",
D27="Henrique Godinho","Grande POA",
D27="Rose - Nelvara","Sul",
D27="Viviane Botelho","Sul",
D27="Ariane Quebao","Grande POA",
D27="Camila Arruda","Sul",
D27="Jairo Costa","Sul",
D27="Moacir Lopes","Grande POA",
D27="Nei Xavier","Grande POA",
D27="Raquel Ricardo","Vale dos Sinos",
D27="Tatiana Lacerda","Serra",
D27="Timoteo Hellwing","Sul",
D27="Volnei Klug","Sul",
D27="Wagner da Silva","Vale dos Sinos",
D27="Marcelo de Souza","Sul",
D27="Fernando Moura","Serra",
D27="Paulo Renato","Litoral",
D27="Vinicios da Luz","Litoral",
D27="Bruno Santos","Litoral",
D27="Mauricio Keenan","Sul",
D27="Cristielen","Litoral",
D27="Juliano Lause","Grande POA",
D27="Thiago Fraga","Vale dos Sinos",
D27="Natalia","Vale dos Sinos",
D27="Guilherme Juhliano","Grande POA",
D27="Timoteo","Sul",
D27="Carlos Alberto","Sul",
D27="Anaina Schmidt","Sul",
D27="Rose - Nelvaira","Sul",
D27="Henrik Von Muhlen","Serra",
TRUE,""
)</f>
        <v>#NAME?</v>
      </c>
      <c r="G27" t="s">
        <v>52</v>
      </c>
      <c r="H27" t="s">
        <v>50</v>
      </c>
      <c r="I27">
        <v>46197</v>
      </c>
      <c r="J27" t="s">
        <v>32</v>
      </c>
      <c r="K27">
        <v>497.53</v>
      </c>
    </row>
    <row r="28" spans="1:15" x14ac:dyDescent="0.3">
      <c r="A28">
        <v>45465</v>
      </c>
      <c r="B28" t="s">
        <v>27</v>
      </c>
      <c r="C28">
        <f t="shared" si="0"/>
        <v>9872</v>
      </c>
      <c r="D28" t="s">
        <v>61</v>
      </c>
      <c r="E28" t="s">
        <v>48</v>
      </c>
      <c r="F28" t="e" cm="1">
        <f t="array" aca="1" ref="F28" ca="1">IFS(
D28="Andreia Lopes","Serra",
D28="Arlecio Lindemann","Sul",
D28="Dionis Jose","Vale dos Sinos",
D28="Douglas Montagna","Grande POA",
D28="Elisiane Lambrechtt","Grande POA",
D28="Gislaine Muller","Vale dos Sinos",
D28="Henrique Godinho","Grande POA",
D28="Rose - Nelvara","Sul",
D28="Viviane Botelho","Sul",
D28="Ariane Quebao","Grande POA",
D28="Camila Arruda","Sul",
D28="Jairo Costa","Sul",
D28="Moacir Lopes","Grande POA",
D28="Nei Xavier","Grande POA",
D28="Raquel Ricardo","Vale dos Sinos",
D28="Tatiana Lacerda","Serra",
D28="Timoteo Hellwing","Sul",
D28="Volnei Klug","Sul",
D28="Wagner da Silva","Vale dos Sinos",
D28="Marcelo de Souza","Sul",
D28="Fernando Moura","Serra",
D28="Paulo Renato","Litoral",
D28="Vinicios da Luz","Litoral",
D28="Bruno Santos","Litoral",
D28="Mauricio Keenan","Sul",
D28="Cristielen","Litoral",
D28="Juliano Lause","Grande POA",
D28="Thiago Fraga","Vale dos Sinos",
D28="Natalia","Vale dos Sinos",
D28="Guilherme Juhliano","Grande POA",
D28="Timoteo","Sul",
D28="Carlos Alberto","Sul",
D28="Anaina Schmidt","Sul",
D28="Rose - Nelvaira","Sul",
D28="Henrik Von Muhlen","Serra",
TRUE,""
)</f>
        <v>#NAME?</v>
      </c>
      <c r="G28" t="s">
        <v>52</v>
      </c>
      <c r="H28" t="s">
        <v>50</v>
      </c>
      <c r="I28">
        <v>46197</v>
      </c>
      <c r="J28" t="s">
        <v>32</v>
      </c>
      <c r="K28">
        <v>277.2</v>
      </c>
    </row>
    <row r="29" spans="1:15" x14ac:dyDescent="0.3">
      <c r="A29">
        <v>2738</v>
      </c>
      <c r="B29" t="s">
        <v>27</v>
      </c>
      <c r="C29">
        <f t="shared" si="0"/>
        <v>1596</v>
      </c>
      <c r="D29" t="s">
        <v>62</v>
      </c>
      <c r="E29" t="s">
        <v>29</v>
      </c>
      <c r="F29" t="e" cm="1">
        <f t="array" aca="1" ref="F29" ca="1">IFS(
D29="Andreia Lopes","Serra",
D29="Arlecio Lindemann","Sul",
D29="Dionis Jose","Vale dos Sinos",
D29="Douglas Montagna","Grande POA",
D29="Elisiane Lambrechtt","Grande POA",
D29="Gislaine Muller","Vale dos Sinos",
D29="Henrique Godinho","Grande POA",
D29="Rose - Nelvara","Sul",
D29="Viviane Botelho","Sul",
D29="Ariane Quebao","Grande POA",
D29="Camila Arruda","Sul",
D29="Jairo Costa","Sul",
D29="Moacir Lopes","Grande POA",
D29="Nei Xavier","Grande POA",
D29="Raquel Ricardo","Vale dos Sinos",
D29="Tatiana Lacerda","Serra",
D29="Timoteo Hellwing","Sul",
D29="Volnei Klug","Sul",
D29="Wagner da Silva","Vale dos Sinos",
D29="Marcelo de Souza","Sul",
D29="Fernando Moura","Serra",
D29="Paulo Renato","Litoral",
D29="Vinicios da Luz","Litoral",
D29="Bruno Santos","Litoral",
D29="Mauricio Keenan","Sul",
D29="Cristielen","Litoral",
D29="Juliano Lause","Grande POA",
D29="Thiago Fraga","Vale dos Sinos",
D29="Natalia","Vale dos Sinos",
D29="Guilherme Juhliano","Grande POA",
D29="Timoteo","Sul",
D29="Carlos Alberto","Sul",
D29="Anaina Schmidt","Sul",
D29="Rose - Nelvaira","Sul",
D29="Henrik Von Muhlen","Serra",
TRUE,""
)</f>
        <v>#NAME?</v>
      </c>
      <c r="G29" t="s">
        <v>30</v>
      </c>
      <c r="H29" t="s">
        <v>63</v>
      </c>
      <c r="I29">
        <v>46197</v>
      </c>
      <c r="J29" t="s">
        <v>34</v>
      </c>
    </row>
    <row r="30" spans="1:15" x14ac:dyDescent="0.3">
      <c r="A30">
        <v>43289</v>
      </c>
      <c r="B30" t="s">
        <v>27</v>
      </c>
      <c r="C30">
        <f t="shared" si="0"/>
        <v>1464</v>
      </c>
      <c r="D30" t="s">
        <v>64</v>
      </c>
      <c r="E30" t="s">
        <v>29</v>
      </c>
      <c r="F30" t="e" cm="1">
        <f t="array" aca="1" ref="F30" ca="1">IFS(
D30="Andreia Lopes","Serra",
D30="Arlecio Lindemann","Sul",
D30="Dionis Jose","Vale dos Sinos",
D30="Douglas Montagna","Grande POA",
D30="Elisiane Lambrechtt","Grande POA",
D30="Gislaine Muller","Vale dos Sinos",
D30="Henrique Godinho","Grande POA",
D30="Rose - Nelvara","Sul",
D30="Viviane Botelho","Sul",
D30="Ariane Quebao","Grande POA",
D30="Camila Arruda","Sul",
D30="Jairo Costa","Sul",
D30="Moacir Lopes","Grande POA",
D30="Nei Xavier","Grande POA",
D30="Raquel Ricardo","Vale dos Sinos",
D30="Tatiana Lacerda","Serra",
D30="Timoteo Hellwing","Sul",
D30="Volnei Klug","Sul",
D30="Wagner da Silva","Vale dos Sinos",
D30="Marcelo de Souza","Sul",
D30="Fernando Moura","Serra",
D30="Paulo Renato","Litoral",
D30="Vinicios da Luz","Litoral",
D30="Bruno Santos","Litoral",
D30="Mauricio Keenan","Sul",
D30="Cristielen","Litoral",
D30="Juliano Lause","Grande POA",
D30="Thiago Fraga","Vale dos Sinos",
D30="Natalia","Vale dos Sinos",
D30="Guilherme Juhliano","Grande POA",
D30="Timoteo","Sul",
D30="Carlos Alberto","Sul",
D30="Anaina Schmidt","Sul",
D30="Rose - Nelvaira","Sul",
D30="Henrik Von Muhlen","Serra",
TRUE,""
)</f>
        <v>#NAME?</v>
      </c>
      <c r="G30" t="s">
        <v>30</v>
      </c>
      <c r="H30" t="s">
        <v>63</v>
      </c>
      <c r="I30">
        <v>46197</v>
      </c>
      <c r="J30" t="s">
        <v>34</v>
      </c>
    </row>
    <row r="31" spans="1:15" x14ac:dyDescent="0.3">
      <c r="A31">
        <v>31819</v>
      </c>
      <c r="B31" t="s">
        <v>27</v>
      </c>
      <c r="C31">
        <f t="shared" si="0"/>
        <v>9937</v>
      </c>
      <c r="D31" t="s">
        <v>58</v>
      </c>
      <c r="E31" t="s">
        <v>48</v>
      </c>
      <c r="F31" t="e" cm="1">
        <f t="array" aca="1" ref="F31" ca="1">IFS(
D31="Andreia Lopes","Serra",
D31="Arlecio Lindemann","Sul",
D31="Dionis Jose","Vale dos Sinos",
D31="Douglas Montagna","Grande POA",
D31="Elisiane Lambrechtt","Grande POA",
D31="Gislaine Muller","Vale dos Sinos",
D31="Henrique Godinho","Grande POA",
D31="Rose - Nelvara","Sul",
D31="Viviane Botelho","Sul",
D31="Ariane Quebao","Grande POA",
D31="Camila Arruda","Sul",
D31="Jairo Costa","Sul",
D31="Moacir Lopes","Grande POA",
D31="Nei Xavier","Grande POA",
D31="Raquel Ricardo","Vale dos Sinos",
D31="Tatiana Lacerda","Serra",
D31="Timoteo Hellwing","Sul",
D31="Volnei Klug","Sul",
D31="Wagner da Silva","Vale dos Sinos",
D31="Marcelo de Souza","Sul",
D31="Fernando Moura","Serra",
D31="Paulo Renato","Litoral",
D31="Vinicios da Luz","Litoral",
D31="Bruno Santos","Litoral",
D31="Mauricio Keenan","Sul",
D31="Cristielen","Litoral",
D31="Juliano Lause","Grande POA",
D31="Thiago Fraga","Vale dos Sinos",
D31="Natalia","Vale dos Sinos",
D31="Guilherme Juhliano","Grande POA",
D31="Timoteo","Sul",
D31="Carlos Alberto","Sul",
D31="Anaina Schmidt","Sul",
D31="Rose - Nelvaira","Sul",
D31="Henrik Von Muhlen","Serra",
TRUE,""
)</f>
        <v>#NAME?</v>
      </c>
      <c r="G31" t="s">
        <v>54</v>
      </c>
      <c r="H31" t="s">
        <v>63</v>
      </c>
      <c r="I31">
        <v>46197</v>
      </c>
      <c r="J31" t="s">
        <v>34</v>
      </c>
    </row>
    <row r="32" spans="1:15" x14ac:dyDescent="0.3">
      <c r="A32">
        <v>42415</v>
      </c>
      <c r="B32" t="s">
        <v>27</v>
      </c>
      <c r="C32">
        <f t="shared" si="0"/>
        <v>9911</v>
      </c>
      <c r="D32" t="s">
        <v>65</v>
      </c>
      <c r="E32" t="s">
        <v>48</v>
      </c>
      <c r="F32" t="e" cm="1">
        <f t="array" aca="1" ref="F32" ca="1">IFS(
D32="Andreia Lopes","Serra",
D32="Arlecio Lindemann","Sul",
D32="Dionis Jose","Vale dos Sinos",
D32="Douglas Montagna","Grande POA",
D32="Elisiane Lambrechtt","Grande POA",
D32="Gislaine Muller","Vale dos Sinos",
D32="Henrique Godinho","Grande POA",
D32="Rose - Nelvara","Sul",
D32="Viviane Botelho","Sul",
D32="Ariane Quebao","Grande POA",
D32="Camila Arruda","Sul",
D32="Jairo Costa","Sul",
D32="Moacir Lopes","Grande POA",
D32="Nei Xavier","Grande POA",
D32="Raquel Ricardo","Vale dos Sinos",
D32="Tatiana Lacerda","Serra",
D32="Timoteo Hellwing","Sul",
D32="Volnei Klug","Sul",
D32="Wagner da Silva","Vale dos Sinos",
D32="Marcelo de Souza","Sul",
D32="Fernando Moura","Serra",
D32="Paulo Renato","Litoral",
D32="Vinicios da Luz","Litoral",
D32="Bruno Santos","Litoral",
D32="Mauricio Keenan","Sul",
D32="Cristielen","Litoral",
D32="Juliano Lause","Grande POA",
D32="Thiago Fraga","Vale dos Sinos",
D32="Natalia","Vale dos Sinos",
D32="Guilherme Juhliano","Grande POA",
D32="Timoteo","Sul",
D32="Carlos Alberto","Sul",
D32="Anaina Schmidt","Sul",
D32="Rose - Nelvaira","Sul",
D32="Henrik Von Muhlen","Serra",
TRUE,""
)</f>
        <v>#NAME?</v>
      </c>
      <c r="G32" t="s">
        <v>52</v>
      </c>
      <c r="H32" t="s">
        <v>63</v>
      </c>
      <c r="I32">
        <v>46197</v>
      </c>
      <c r="J32" t="s">
        <v>32</v>
      </c>
      <c r="K32">
        <v>190.97</v>
      </c>
    </row>
    <row r="33" spans="1:11" x14ac:dyDescent="0.3">
      <c r="A33">
        <v>40618</v>
      </c>
      <c r="B33" t="s">
        <v>27</v>
      </c>
      <c r="C33">
        <f t="shared" si="0"/>
        <v>1278</v>
      </c>
      <c r="D33" t="s">
        <v>66</v>
      </c>
      <c r="E33" t="s">
        <v>48</v>
      </c>
      <c r="F33" t="e" cm="1">
        <f t="array" aca="1" ref="F33" ca="1">IFS(
D33="Andreia Lopes","Serra",
D33="Arlecio Lindemann","Sul",
D33="Dionis Jose","Vale dos Sinos",
D33="Douglas Montagna","Grande POA",
D33="Elisiane Lambrechtt","Grande POA",
D33="Gislaine Muller","Vale dos Sinos",
D33="Henrique Godinho","Grande POA",
D33="Rose - Nelvara","Sul",
D33="Viviane Botelho","Sul",
D33="Ariane Quebao","Grande POA",
D33="Camila Arruda","Sul",
D33="Jairo Costa","Sul",
D33="Moacir Lopes","Grande POA",
D33="Nei Xavier","Grande POA",
D33="Raquel Ricardo","Vale dos Sinos",
D33="Tatiana Lacerda","Serra",
D33="Timoteo Hellwing","Sul",
D33="Volnei Klug","Sul",
D33="Wagner da Silva","Vale dos Sinos",
D33="Marcelo de Souza","Sul",
D33="Fernando Moura","Serra",
D33="Paulo Renato","Litoral",
D33="Vinicios da Luz","Litoral",
D33="Bruno Santos","Litoral",
D33="Mauricio Keenan","Sul",
D33="Cristielen","Litoral",
D33="Juliano Lause","Grande POA",
D33="Thiago Fraga","Vale dos Sinos",
D33="Natalia","Vale dos Sinos",
D33="Guilherme Juhliano","Grande POA",
D33="Timoteo","Sul",
D33="Carlos Alberto","Sul",
D33="Anaina Schmidt","Sul",
D33="Rose - Nelvaira","Sul",
D33="Henrik Von Muhlen","Serra",
TRUE,""
)</f>
        <v>#NAME?</v>
      </c>
      <c r="G33" t="s">
        <v>56</v>
      </c>
      <c r="H33" t="s">
        <v>63</v>
      </c>
      <c r="I33">
        <v>46197</v>
      </c>
      <c r="J33" t="s">
        <v>32</v>
      </c>
      <c r="K33">
        <v>797.04</v>
      </c>
    </row>
    <row r="34" spans="1:11" x14ac:dyDescent="0.3">
      <c r="A34">
        <v>24553</v>
      </c>
      <c r="B34" t="s">
        <v>27</v>
      </c>
      <c r="C34">
        <f t="shared" si="0"/>
        <v>1150</v>
      </c>
      <c r="D34" t="s">
        <v>67</v>
      </c>
      <c r="E34" t="s">
        <v>48</v>
      </c>
      <c r="F34" t="e" cm="1">
        <f t="array" aca="1" ref="F34" ca="1">IFS(
D34="Andreia Lopes","Serra",
D34="Arlecio Lindemann","Sul",
D34="Dionis Jose","Vale dos Sinos",
D34="Douglas Montagna","Grande POA",
D34="Elisiane Lambrechtt","Grande POA",
D34="Gislaine Muller","Vale dos Sinos",
D34="Henrique Godinho","Grande POA",
D34="Rose - Nelvara","Sul",
D34="Viviane Botelho","Sul",
D34="Ariane Quebao","Grande POA",
D34="Camila Arruda","Sul",
D34="Jairo Costa","Sul",
D34="Moacir Lopes","Grande POA",
D34="Nei Xavier","Grande POA",
D34="Raquel Ricardo","Vale dos Sinos",
D34="Tatiana Lacerda","Serra",
D34="Timoteo Hellwing","Sul",
D34="Volnei Klug","Sul",
D34="Wagner da Silva","Vale dos Sinos",
D34="Marcelo de Souza","Sul",
D34="Fernando Moura","Serra",
D34="Paulo Renato","Litoral",
D34="Vinicios da Luz","Litoral",
D34="Bruno Santos","Litoral",
D34="Mauricio Keenan","Sul",
D34="Cristielen","Litoral",
D34="Juliano Lause","Grande POA",
D34="Thiago Fraga","Vale dos Sinos",
D34="Natalia","Vale dos Sinos",
D34="Guilherme Juhliano","Grande POA",
D34="Timoteo","Sul",
D34="Carlos Alberto","Sul",
D34="Anaina Schmidt","Sul",
D34="Rose - Nelvaira","Sul",
D34="Henrik Von Muhlen","Serra",
TRUE,""
)</f>
        <v>#NAME?</v>
      </c>
      <c r="G34" t="s">
        <v>56</v>
      </c>
      <c r="H34" t="s">
        <v>63</v>
      </c>
      <c r="I34">
        <v>46197</v>
      </c>
      <c r="J34" t="s">
        <v>32</v>
      </c>
      <c r="K34">
        <v>561.78</v>
      </c>
    </row>
    <row r="35" spans="1:11" x14ac:dyDescent="0.3">
      <c r="A35">
        <v>27951</v>
      </c>
      <c r="B35" t="s">
        <v>27</v>
      </c>
      <c r="C35">
        <f t="shared" si="0"/>
        <v>1217</v>
      </c>
      <c r="D35" t="s">
        <v>68</v>
      </c>
      <c r="E35" t="s">
        <v>48</v>
      </c>
      <c r="F35" t="e" cm="1">
        <f t="array" aca="1" ref="F35" ca="1">IFS(
D35="Andreia Lopes","Serra",
D35="Arlecio Lindemann","Sul",
D35="Dionis Jose","Vale dos Sinos",
D35="Douglas Montagna","Grande POA",
D35="Elisiane Lambrechtt","Grande POA",
D35="Gislaine Muller","Vale dos Sinos",
D35="Henrique Godinho","Grande POA",
D35="Rose - Nelvara","Sul",
D35="Viviane Botelho","Sul",
D35="Ariane Quebao","Grande POA",
D35="Camila Arruda","Sul",
D35="Jairo Costa","Sul",
D35="Moacir Lopes","Grande POA",
D35="Nei Xavier","Grande POA",
D35="Raquel Ricardo","Vale dos Sinos",
D35="Tatiana Lacerda","Serra",
D35="Timoteo Hellwing","Sul",
D35="Volnei Klug","Sul",
D35="Wagner da Silva","Vale dos Sinos",
D35="Marcelo de Souza","Sul",
D35="Fernando Moura","Serra",
D35="Paulo Renato","Litoral",
D35="Vinicios da Luz","Litoral",
D35="Bruno Santos","Litoral",
D35="Mauricio Keenan","Sul",
D35="Cristielen","Litoral",
D35="Juliano Lause","Grande POA",
D35="Thiago Fraga","Vale dos Sinos",
D35="Natalia","Vale dos Sinos",
D35="Guilherme Juhliano","Grande POA",
D35="Timoteo","Sul",
D35="Carlos Alberto","Sul",
D35="Anaina Schmidt","Sul",
D35="Rose - Nelvaira","Sul",
D35="Henrik Von Muhlen","Serra",
TRUE,""
)</f>
        <v>#NAME?</v>
      </c>
      <c r="G35" t="s">
        <v>54</v>
      </c>
      <c r="H35" t="s">
        <v>63</v>
      </c>
      <c r="I35">
        <v>46197</v>
      </c>
      <c r="J35" t="s">
        <v>32</v>
      </c>
      <c r="K35">
        <v>14790.6</v>
      </c>
    </row>
    <row r="36" spans="1:11" x14ac:dyDescent="0.3">
      <c r="A36">
        <v>42440</v>
      </c>
      <c r="B36" t="s">
        <v>27</v>
      </c>
      <c r="C36">
        <f t="shared" si="0"/>
        <v>9886</v>
      </c>
      <c r="D36" t="s">
        <v>39</v>
      </c>
      <c r="E36" t="s">
        <v>29</v>
      </c>
      <c r="F36" t="e" cm="1">
        <f t="array" aca="1" ref="F36" ca="1">IFS(
D36="Andreia Lopes","Serra",
D36="Arlecio Lindemann","Sul",
D36="Dionis Jose","Vale dos Sinos",
D36="Douglas Montagna","Grande POA",
D36="Elisiane Lambrechtt","Grande POA",
D36="Gislaine Muller","Vale dos Sinos",
D36="Henrique Godinho","Grande POA",
D36="Rose - Nelvara","Sul",
D36="Viviane Botelho","Sul",
D36="Ariane Quebao","Grande POA",
D36="Camila Arruda","Sul",
D36="Jairo Costa","Sul",
D36="Moacir Lopes","Grande POA",
D36="Nei Xavier","Grande POA",
D36="Raquel Ricardo","Vale dos Sinos",
D36="Tatiana Lacerda","Serra",
D36="Timoteo Hellwing","Sul",
D36="Volnei Klug","Sul",
D36="Wagner da Silva","Vale dos Sinos",
D36="Marcelo de Souza","Sul",
D36="Fernando Moura","Serra",
D36="Paulo Renato","Litoral",
D36="Vinicios da Luz","Litoral",
D36="Bruno Santos","Litoral",
D36="Mauricio Keenan","Sul",
D36="Cristielen","Litoral",
D36="Juliano Lause","Grande POA",
D36="Thiago Fraga","Vale dos Sinos",
D36="Natalia","Vale dos Sinos",
D36="Guilherme Juhliano","Grande POA",
D36="Timoteo","Sul",
D36="Carlos Alberto","Sul",
D36="Anaina Schmidt","Sul",
D36="Rose - Nelvaira","Sul",
D36="Henrik Von Muhlen","Serra",
TRUE,""
)</f>
        <v>#NAME?</v>
      </c>
      <c r="G36" t="s">
        <v>30</v>
      </c>
      <c r="H36" t="s">
        <v>63</v>
      </c>
      <c r="I36">
        <v>46197</v>
      </c>
      <c r="J36" t="s">
        <v>34</v>
      </c>
    </row>
    <row r="37" spans="1:11" x14ac:dyDescent="0.3">
      <c r="A37">
        <v>7862</v>
      </c>
      <c r="B37" t="s">
        <v>27</v>
      </c>
      <c r="C37">
        <f t="shared" si="0"/>
        <v>9839</v>
      </c>
      <c r="D37" t="s">
        <v>69</v>
      </c>
      <c r="E37" t="s">
        <v>48</v>
      </c>
      <c r="F37" t="e" cm="1">
        <f t="array" aca="1" ref="F37" ca="1">IFS(
D37="Andreia Lopes","Serra",
D37="Arlecio Lindemann","Sul",
D37="Dionis Jose","Vale dos Sinos",
D37="Douglas Montagna","Grande POA",
D37="Elisiane Lambrechtt","Grande POA",
D37="Gislaine Muller","Vale dos Sinos",
D37="Henrique Godinho","Grande POA",
D37="Rose - Nelvara","Sul",
D37="Viviane Botelho","Sul",
D37="Ariane Quebao","Grande POA",
D37="Camila Arruda","Sul",
D37="Jairo Costa","Sul",
D37="Moacir Lopes","Grande POA",
D37="Nei Xavier","Grande POA",
D37="Raquel Ricardo","Vale dos Sinos",
D37="Tatiana Lacerda","Serra",
D37="Timoteo Hellwing","Sul",
D37="Volnei Klug","Sul",
D37="Wagner da Silva","Vale dos Sinos",
D37="Marcelo de Souza","Sul",
D37="Fernando Moura","Serra",
D37="Paulo Renato","Litoral",
D37="Vinicios da Luz","Litoral",
D37="Bruno Santos","Litoral",
D37="Mauricio Keenan","Sul",
D37="Cristielen","Litoral",
D37="Juliano Lause","Grande POA",
D37="Thiago Fraga","Vale dos Sinos",
D37="Natalia","Vale dos Sinos",
D37="Guilherme Juhliano","Grande POA",
D37="Timoteo","Sul",
D37="Carlos Alberto","Sul",
D37="Anaina Schmidt","Sul",
D37="Rose - Nelvaira","Sul",
D37="Henrik Von Muhlen","Serra",
TRUE,""
)</f>
        <v>#NAME?</v>
      </c>
      <c r="G37" t="s">
        <v>52</v>
      </c>
      <c r="H37" t="s">
        <v>63</v>
      </c>
      <c r="I37">
        <v>46197</v>
      </c>
      <c r="J37" t="s">
        <v>32</v>
      </c>
      <c r="K37">
        <v>427.46</v>
      </c>
    </row>
    <row r="38" spans="1:11" x14ac:dyDescent="0.3">
      <c r="A38">
        <v>44751</v>
      </c>
      <c r="B38" t="s">
        <v>27</v>
      </c>
      <c r="C38">
        <f t="shared" si="0"/>
        <v>9872</v>
      </c>
      <c r="D38" t="s">
        <v>61</v>
      </c>
      <c r="E38" t="s">
        <v>48</v>
      </c>
      <c r="F38" t="e" cm="1">
        <f t="array" aca="1" ref="F38" ca="1">IFS(
D38="Andreia Lopes","Serra",
D38="Arlecio Lindemann","Sul",
D38="Dionis Jose","Vale dos Sinos",
D38="Douglas Montagna","Grande POA",
D38="Elisiane Lambrechtt","Grande POA",
D38="Gislaine Muller","Vale dos Sinos",
D38="Henrique Godinho","Grande POA",
D38="Rose - Nelvara","Sul",
D38="Viviane Botelho","Sul",
D38="Ariane Quebao","Grande POA",
D38="Camila Arruda","Sul",
D38="Jairo Costa","Sul",
D38="Moacir Lopes","Grande POA",
D38="Nei Xavier","Grande POA",
D38="Raquel Ricardo","Vale dos Sinos",
D38="Tatiana Lacerda","Serra",
D38="Timoteo Hellwing","Sul",
D38="Volnei Klug","Sul",
D38="Wagner da Silva","Vale dos Sinos",
D38="Marcelo de Souza","Sul",
D38="Fernando Moura","Serra",
D38="Paulo Renato","Litoral",
D38="Vinicios da Luz","Litoral",
D38="Bruno Santos","Litoral",
D38="Mauricio Keenan","Sul",
D38="Cristielen","Litoral",
D38="Juliano Lause","Grande POA",
D38="Thiago Fraga","Vale dos Sinos",
D38="Natalia","Vale dos Sinos",
D38="Guilherme Juhliano","Grande POA",
D38="Timoteo","Sul",
D38="Carlos Alberto","Sul",
D38="Anaina Schmidt","Sul",
D38="Rose - Nelvaira","Sul",
D38="Henrik Von Muhlen","Serra",
TRUE,""
)</f>
        <v>#NAME?</v>
      </c>
      <c r="G38" t="s">
        <v>52</v>
      </c>
      <c r="H38" t="s">
        <v>63</v>
      </c>
      <c r="I38">
        <v>46197</v>
      </c>
      <c r="J38" t="s">
        <v>32</v>
      </c>
      <c r="K38">
        <v>556</v>
      </c>
    </row>
    <row r="39" spans="1:11" x14ac:dyDescent="0.3">
      <c r="A39">
        <v>41914</v>
      </c>
      <c r="B39" t="s">
        <v>27</v>
      </c>
      <c r="C39">
        <f t="shared" si="0"/>
        <v>1335</v>
      </c>
      <c r="D39" t="s">
        <v>70</v>
      </c>
      <c r="E39" t="s">
        <v>48</v>
      </c>
      <c r="F39" t="e" cm="1">
        <f t="array" aca="1" ref="F39" ca="1">IFS(
D39="Andreia Lopes","Serra",
D39="Arlecio Lindemann","Sul",
D39="Dionis Jose","Vale dos Sinos",
D39="Douglas Montagna","Grande POA",
D39="Elisiane Lambrechtt","Grande POA",
D39="Gislaine Muller","Vale dos Sinos",
D39="Henrique Godinho","Grande POA",
D39="Rose - Nelvara","Sul",
D39="Viviane Botelho","Sul",
D39="Ariane Quebao","Grande POA",
D39="Camila Arruda","Sul",
D39="Jairo Costa","Sul",
D39="Moacir Lopes","Grande POA",
D39="Nei Xavier","Grande POA",
D39="Raquel Ricardo","Vale dos Sinos",
D39="Tatiana Lacerda","Serra",
D39="Timoteo Hellwing","Sul",
D39="Volnei Klug","Sul",
D39="Wagner da Silva","Vale dos Sinos",
D39="Marcelo de Souza","Sul",
D39="Fernando Moura","Serra",
D39="Paulo Renato","Litoral",
D39="Vinicios da Luz","Litoral",
D39="Bruno Santos","Litoral",
D39="Mauricio Keenan","Sul",
D39="Cristielen","Litoral",
D39="Juliano Lause","Grande POA",
D39="Thiago Fraga","Vale dos Sinos",
D39="Natalia","Vale dos Sinos",
D39="Guilherme Juhliano","Grande POA",
D39="Timoteo","Sul",
D39="Carlos Alberto","Sul",
D39="Anaina Schmidt","Sul",
D39="Rose - Nelvaira","Sul",
D39="Henrik Von Muhlen","Serra",
TRUE,""
)</f>
        <v>#NAME?</v>
      </c>
      <c r="G39" t="s">
        <v>52</v>
      </c>
      <c r="H39" t="s">
        <v>63</v>
      </c>
      <c r="I39">
        <v>46197</v>
      </c>
      <c r="J39" t="s">
        <v>34</v>
      </c>
    </row>
    <row r="40" spans="1:11" x14ac:dyDescent="0.3">
      <c r="K40">
        <f>SUM(K18:K39)</f>
        <v>19652.309999999998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40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46"/>
  <sheetViews>
    <sheetView workbookViewId="0">
      <selection sqref="A1:R1"/>
    </sheetView>
  </sheetViews>
  <sheetFormatPr defaultRowHeight="15.6" x14ac:dyDescent="0.3"/>
  <sheetData>
    <row r="1" spans="1:18" x14ac:dyDescent="0.3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72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73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74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x14ac:dyDescent="0.3">
      <c r="A18">
        <v>26967</v>
      </c>
      <c r="B18" t="s">
        <v>27</v>
      </c>
      <c r="C18">
        <f t="shared" ref="C18:C46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1575</v>
      </c>
      <c r="D18" t="s">
        <v>33</v>
      </c>
      <c r="E18" t="s">
        <v>29</v>
      </c>
      <c r="F18" t="e" cm="1">
        <f t="array" aca="1" ref="F18" ca="1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#NAME?</v>
      </c>
      <c r="G18" t="s">
        <v>30</v>
      </c>
      <c r="H18" t="s">
        <v>31</v>
      </c>
      <c r="I18">
        <v>46198</v>
      </c>
      <c r="J18" t="s">
        <v>34</v>
      </c>
    </row>
    <row r="19" spans="1:11" x14ac:dyDescent="0.3">
      <c r="A19">
        <v>43680</v>
      </c>
      <c r="B19" t="s">
        <v>27</v>
      </c>
      <c r="C19">
        <f t="shared" si="0"/>
        <v>1575</v>
      </c>
      <c r="D19" t="s">
        <v>33</v>
      </c>
      <c r="E19" t="s">
        <v>29</v>
      </c>
      <c r="F19" t="e" cm="1">
        <f t="array" aca="1" ref="F19" ca="1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#NAME?</v>
      </c>
      <c r="G19" t="s">
        <v>30</v>
      </c>
      <c r="H19" t="s">
        <v>31</v>
      </c>
      <c r="I19">
        <v>46198</v>
      </c>
      <c r="J19" t="s">
        <v>34</v>
      </c>
    </row>
    <row r="20" spans="1:11" x14ac:dyDescent="0.3">
      <c r="A20">
        <v>43777</v>
      </c>
      <c r="B20" t="s">
        <v>27</v>
      </c>
      <c r="C20">
        <f t="shared" si="0"/>
        <v>1575</v>
      </c>
      <c r="D20" t="s">
        <v>33</v>
      </c>
      <c r="E20" t="s">
        <v>29</v>
      </c>
      <c r="F20" t="e" cm="1">
        <f t="array" aca="1" ref="F20" ca="1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#NAME?</v>
      </c>
      <c r="G20" t="s">
        <v>30</v>
      </c>
      <c r="H20" t="s">
        <v>31</v>
      </c>
      <c r="I20">
        <v>46198</v>
      </c>
      <c r="J20" t="s">
        <v>34</v>
      </c>
    </row>
    <row r="21" spans="1:11" x14ac:dyDescent="0.3">
      <c r="A21">
        <v>42586</v>
      </c>
      <c r="B21" t="s">
        <v>27</v>
      </c>
      <c r="C21">
        <f t="shared" si="0"/>
        <v>1575</v>
      </c>
      <c r="D21" t="s">
        <v>33</v>
      </c>
      <c r="E21" t="s">
        <v>29</v>
      </c>
      <c r="F21" t="e" cm="1">
        <f t="array" aca="1" ref="F21" ca="1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#NAME?</v>
      </c>
      <c r="G21" t="s">
        <v>30</v>
      </c>
      <c r="H21" t="s">
        <v>31</v>
      </c>
      <c r="I21">
        <v>46198</v>
      </c>
      <c r="J21" t="s">
        <v>34</v>
      </c>
    </row>
    <row r="22" spans="1:11" x14ac:dyDescent="0.3">
      <c r="A22">
        <v>41199</v>
      </c>
      <c r="B22" t="s">
        <v>27</v>
      </c>
      <c r="C22">
        <f t="shared" si="0"/>
        <v>1575</v>
      </c>
      <c r="D22" t="s">
        <v>33</v>
      </c>
      <c r="E22" t="s">
        <v>29</v>
      </c>
      <c r="F22" t="e" cm="1">
        <f t="array" aca="1" ref="F22" ca="1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#NAME?</v>
      </c>
      <c r="G22" t="s">
        <v>30</v>
      </c>
      <c r="H22" t="s">
        <v>31</v>
      </c>
      <c r="I22">
        <v>46198</v>
      </c>
      <c r="J22" t="s">
        <v>34</v>
      </c>
    </row>
    <row r="23" spans="1:11" x14ac:dyDescent="0.3">
      <c r="A23">
        <v>42136</v>
      </c>
      <c r="B23" t="s">
        <v>27</v>
      </c>
      <c r="C23">
        <f t="shared" si="0"/>
        <v>1575</v>
      </c>
      <c r="D23" t="s">
        <v>33</v>
      </c>
      <c r="E23" t="s">
        <v>29</v>
      </c>
      <c r="F23" t="e" cm="1">
        <f t="array" aca="1" ref="F23" ca="1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#NAME?</v>
      </c>
      <c r="G23" t="s">
        <v>30</v>
      </c>
      <c r="H23" t="s">
        <v>31</v>
      </c>
      <c r="I23">
        <v>46198</v>
      </c>
      <c r="J23" t="s">
        <v>34</v>
      </c>
    </row>
    <row r="24" spans="1:11" x14ac:dyDescent="0.3">
      <c r="A24">
        <v>36147</v>
      </c>
      <c r="B24" t="s">
        <v>27</v>
      </c>
      <c r="C24">
        <f t="shared" si="0"/>
        <v>1575</v>
      </c>
      <c r="D24" t="s">
        <v>33</v>
      </c>
      <c r="E24" t="s">
        <v>29</v>
      </c>
      <c r="F24" t="e" cm="1">
        <f t="array" aca="1" ref="F24" ca="1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#NAME?</v>
      </c>
      <c r="G24" t="s">
        <v>30</v>
      </c>
      <c r="H24" t="s">
        <v>31</v>
      </c>
      <c r="I24">
        <v>46198</v>
      </c>
      <c r="J24" t="s">
        <v>34</v>
      </c>
    </row>
    <row r="25" spans="1:11" x14ac:dyDescent="0.3">
      <c r="A25">
        <v>39168</v>
      </c>
      <c r="B25" t="s">
        <v>27</v>
      </c>
      <c r="C25">
        <f t="shared" si="0"/>
        <v>1575</v>
      </c>
      <c r="D25" t="s">
        <v>33</v>
      </c>
      <c r="E25" t="s">
        <v>29</v>
      </c>
      <c r="F25" t="e" cm="1">
        <f t="array" aca="1" ref="F25" ca="1">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#NAME?</v>
      </c>
      <c r="G25" t="s">
        <v>30</v>
      </c>
      <c r="H25" t="s">
        <v>31</v>
      </c>
      <c r="I25">
        <v>46198</v>
      </c>
      <c r="J25" t="s">
        <v>34</v>
      </c>
    </row>
    <row r="26" spans="1:11" x14ac:dyDescent="0.3">
      <c r="A26">
        <v>35940</v>
      </c>
      <c r="B26" t="s">
        <v>27</v>
      </c>
      <c r="C26">
        <f t="shared" si="0"/>
        <v>9886</v>
      </c>
      <c r="D26" t="s">
        <v>39</v>
      </c>
      <c r="E26" t="s">
        <v>29</v>
      </c>
      <c r="F26" t="e" cm="1">
        <f t="array" aca="1" ref="F26" ca="1">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#NAME?</v>
      </c>
      <c r="G26" t="s">
        <v>30</v>
      </c>
      <c r="H26" t="s">
        <v>31</v>
      </c>
      <c r="I26">
        <v>46198</v>
      </c>
      <c r="J26" t="s">
        <v>34</v>
      </c>
    </row>
    <row r="27" spans="1:11" x14ac:dyDescent="0.3">
      <c r="A27">
        <v>38434</v>
      </c>
      <c r="B27" t="s">
        <v>27</v>
      </c>
      <c r="C27">
        <f t="shared" si="0"/>
        <v>1575</v>
      </c>
      <c r="D27" t="s">
        <v>33</v>
      </c>
      <c r="E27" t="s">
        <v>29</v>
      </c>
      <c r="F27" t="e" cm="1">
        <f t="array" aca="1" ref="F27" ca="1">IFS(
D27="Andreia Lopes","Serra",
D27="Arlecio Lindemann","Sul",
D27="Dionis Jose","Vale dos Sinos",
D27="Douglas Montagna","Grande POA",
D27="Elisiane Lambrechtt","Grande POA",
D27="Gislaine Muller","Vale dos Sinos",
D27="Henrique Godinho","Grande POA",
D27="Rose - Nelvara","Sul",
D27="Viviane Botelho","Sul",
D27="Ariane Quebao","Grande POA",
D27="Camila Arruda","Sul",
D27="Jairo Costa","Sul",
D27="Moacir Lopes","Grande POA",
D27="Nei Xavier","Grande POA",
D27="Raquel Ricardo","Vale dos Sinos",
D27="Tatiana Lacerda","Serra",
D27="Timoteo Hellwing","Sul",
D27="Volnei Klug","Sul",
D27="Wagner da Silva","Vale dos Sinos",
D27="Marcelo de Souza","Sul",
D27="Fernando Moura","Serra",
D27="Paulo Renato","Litoral",
D27="Vinicios da Luz","Litoral",
D27="Bruno Santos","Litoral",
D27="Mauricio Keenan","Sul",
D27="Cristielen","Litoral",
D27="Juliano Lause","Grande POA",
D27="Thiago Fraga","Vale dos Sinos",
D27="Natalia","Vale dos Sinos",
D27="Guilherme Juhliano","Grande POA",
D27="Timoteo","Sul",
D27="Carlos Alberto","Sul",
D27="Anaina Schmidt","Sul",
D27="Rose - Nelvaira","Sul",
D27="Henrik Von Muhlen","Serra",
TRUE,""
)</f>
        <v>#NAME?</v>
      </c>
      <c r="G27" t="s">
        <v>30</v>
      </c>
      <c r="H27" t="s">
        <v>31</v>
      </c>
      <c r="I27">
        <v>46198</v>
      </c>
      <c r="J27" t="s">
        <v>34</v>
      </c>
    </row>
    <row r="28" spans="1:11" x14ac:dyDescent="0.3">
      <c r="A28">
        <v>42416</v>
      </c>
      <c r="B28" t="s">
        <v>27</v>
      </c>
      <c r="C28">
        <f t="shared" si="0"/>
        <v>1575</v>
      </c>
      <c r="D28" t="s">
        <v>33</v>
      </c>
      <c r="E28" t="s">
        <v>29</v>
      </c>
      <c r="F28" t="e" cm="1">
        <f t="array" aca="1" ref="F28" ca="1">IFS(
D28="Andreia Lopes","Serra",
D28="Arlecio Lindemann","Sul",
D28="Dionis Jose","Vale dos Sinos",
D28="Douglas Montagna","Grande POA",
D28="Elisiane Lambrechtt","Grande POA",
D28="Gislaine Muller","Vale dos Sinos",
D28="Henrique Godinho","Grande POA",
D28="Rose - Nelvara","Sul",
D28="Viviane Botelho","Sul",
D28="Ariane Quebao","Grande POA",
D28="Camila Arruda","Sul",
D28="Jairo Costa","Sul",
D28="Moacir Lopes","Grande POA",
D28="Nei Xavier","Grande POA",
D28="Raquel Ricardo","Vale dos Sinos",
D28="Tatiana Lacerda","Serra",
D28="Timoteo Hellwing","Sul",
D28="Volnei Klug","Sul",
D28="Wagner da Silva","Vale dos Sinos",
D28="Marcelo de Souza","Sul",
D28="Fernando Moura","Serra",
D28="Paulo Renato","Litoral",
D28="Vinicios da Luz","Litoral",
D28="Bruno Santos","Litoral",
D28="Mauricio Keenan","Sul",
D28="Cristielen","Litoral",
D28="Juliano Lause","Grande POA",
D28="Thiago Fraga","Vale dos Sinos",
D28="Natalia","Vale dos Sinos",
D28="Guilherme Juhliano","Grande POA",
D28="Timoteo","Sul",
D28="Carlos Alberto","Sul",
D28="Anaina Schmidt","Sul",
D28="Rose - Nelvaira","Sul",
D28="Henrik Von Muhlen","Serra",
TRUE,""
)</f>
        <v>#NAME?</v>
      </c>
      <c r="G28" t="s">
        <v>30</v>
      </c>
      <c r="H28" t="s">
        <v>31</v>
      </c>
      <c r="I28">
        <v>46198</v>
      </c>
      <c r="J28" t="s">
        <v>34</v>
      </c>
    </row>
    <row r="29" spans="1:11" x14ac:dyDescent="0.3">
      <c r="A29">
        <v>43959</v>
      </c>
      <c r="B29" t="s">
        <v>27</v>
      </c>
      <c r="C29">
        <f t="shared" si="0"/>
        <v>1575</v>
      </c>
      <c r="D29" t="s">
        <v>33</v>
      </c>
      <c r="E29" t="s">
        <v>29</v>
      </c>
      <c r="F29" t="e" cm="1">
        <f t="array" aca="1" ref="F29" ca="1">IFS(
D29="Andreia Lopes","Serra",
D29="Arlecio Lindemann","Sul",
D29="Dionis Jose","Vale dos Sinos",
D29="Douglas Montagna","Grande POA",
D29="Elisiane Lambrechtt","Grande POA",
D29="Gislaine Muller","Vale dos Sinos",
D29="Henrique Godinho","Grande POA",
D29="Rose - Nelvara","Sul",
D29="Viviane Botelho","Sul",
D29="Ariane Quebao","Grande POA",
D29="Camila Arruda","Sul",
D29="Jairo Costa","Sul",
D29="Moacir Lopes","Grande POA",
D29="Nei Xavier","Grande POA",
D29="Raquel Ricardo","Vale dos Sinos",
D29="Tatiana Lacerda","Serra",
D29="Timoteo Hellwing","Sul",
D29="Volnei Klug","Sul",
D29="Wagner da Silva","Vale dos Sinos",
D29="Marcelo de Souza","Sul",
D29="Fernando Moura","Serra",
D29="Paulo Renato","Litoral",
D29="Vinicios da Luz","Litoral",
D29="Bruno Santos","Litoral",
D29="Mauricio Keenan","Sul",
D29="Cristielen","Litoral",
D29="Juliano Lause","Grande POA",
D29="Thiago Fraga","Vale dos Sinos",
D29="Natalia","Vale dos Sinos",
D29="Guilherme Juhliano","Grande POA",
D29="Timoteo","Sul",
D29="Carlos Alberto","Sul",
D29="Anaina Schmidt","Sul",
D29="Rose - Nelvaira","Sul",
D29="Henrik Von Muhlen","Serra",
TRUE,""
)</f>
        <v>#NAME?</v>
      </c>
      <c r="G29" t="s">
        <v>30</v>
      </c>
      <c r="H29" t="s">
        <v>31</v>
      </c>
      <c r="I29">
        <v>46198</v>
      </c>
      <c r="J29" t="s">
        <v>75</v>
      </c>
    </row>
    <row r="30" spans="1:11" x14ac:dyDescent="0.3">
      <c r="A30">
        <v>37820</v>
      </c>
      <c r="B30" t="s">
        <v>27</v>
      </c>
      <c r="C30">
        <f t="shared" si="0"/>
        <v>1575</v>
      </c>
      <c r="D30" t="s">
        <v>33</v>
      </c>
      <c r="E30" t="s">
        <v>29</v>
      </c>
      <c r="F30" t="e" cm="1">
        <f t="array" aca="1" ref="F30" ca="1">IFS(
D30="Andreia Lopes","Serra",
D30="Arlecio Lindemann","Sul",
D30="Dionis Jose","Vale dos Sinos",
D30="Douglas Montagna","Grande POA",
D30="Elisiane Lambrechtt","Grande POA",
D30="Gislaine Muller","Vale dos Sinos",
D30="Henrique Godinho","Grande POA",
D30="Rose - Nelvara","Sul",
D30="Viviane Botelho","Sul",
D30="Ariane Quebao","Grande POA",
D30="Camila Arruda","Sul",
D30="Jairo Costa","Sul",
D30="Moacir Lopes","Grande POA",
D30="Nei Xavier","Grande POA",
D30="Raquel Ricardo","Vale dos Sinos",
D30="Tatiana Lacerda","Serra",
D30="Timoteo Hellwing","Sul",
D30="Volnei Klug","Sul",
D30="Wagner da Silva","Vale dos Sinos",
D30="Marcelo de Souza","Sul",
D30="Fernando Moura","Serra",
D30="Paulo Renato","Litoral",
D30="Vinicios da Luz","Litoral",
D30="Bruno Santos","Litoral",
D30="Mauricio Keenan","Sul",
D30="Cristielen","Litoral",
D30="Juliano Lause","Grande POA",
D30="Thiago Fraga","Vale dos Sinos",
D30="Natalia","Vale dos Sinos",
D30="Guilherme Juhliano","Grande POA",
D30="Timoteo","Sul",
D30="Carlos Alberto","Sul",
D30="Anaina Schmidt","Sul",
D30="Rose - Nelvaira","Sul",
D30="Henrik Von Muhlen","Serra",
TRUE,""
)</f>
        <v>#NAME?</v>
      </c>
      <c r="G30" t="s">
        <v>30</v>
      </c>
      <c r="H30" t="s">
        <v>31</v>
      </c>
      <c r="I30">
        <v>46198</v>
      </c>
      <c r="J30" t="s">
        <v>34</v>
      </c>
    </row>
    <row r="31" spans="1:11" x14ac:dyDescent="0.3">
      <c r="A31" t="s">
        <v>76</v>
      </c>
      <c r="B31" t="s">
        <v>27</v>
      </c>
      <c r="C31">
        <f t="shared" si="0"/>
        <v>1575</v>
      </c>
      <c r="D31" t="s">
        <v>33</v>
      </c>
      <c r="E31" t="s">
        <v>29</v>
      </c>
      <c r="F31" t="e" cm="1">
        <f t="array" aca="1" ref="F31" ca="1">IFS(
D31="Andreia Lopes","Serra",
D31="Arlecio Lindemann","Sul",
D31="Dionis Jose","Vale dos Sinos",
D31="Douglas Montagna","Grande POA",
D31="Elisiane Lambrechtt","Grande POA",
D31="Gislaine Muller","Vale dos Sinos",
D31="Henrique Godinho","Grande POA",
D31="Rose - Nelvara","Sul",
D31="Viviane Botelho","Sul",
D31="Ariane Quebao","Grande POA",
D31="Camila Arruda","Sul",
D31="Jairo Costa","Sul",
D31="Moacir Lopes","Grande POA",
D31="Nei Xavier","Grande POA",
D31="Raquel Ricardo","Vale dos Sinos",
D31="Tatiana Lacerda","Serra",
D31="Timoteo Hellwing","Sul",
D31="Volnei Klug","Sul",
D31="Wagner da Silva","Vale dos Sinos",
D31="Marcelo de Souza","Sul",
D31="Fernando Moura","Serra",
D31="Paulo Renato","Litoral",
D31="Vinicios da Luz","Litoral",
D31="Bruno Santos","Litoral",
D31="Mauricio Keenan","Sul",
D31="Cristielen","Litoral",
D31="Juliano Lause","Grande POA",
D31="Thiago Fraga","Vale dos Sinos",
D31="Natalia","Vale dos Sinos",
D31="Guilherme Juhliano","Grande POA",
D31="Timoteo","Sul",
D31="Carlos Alberto","Sul",
D31="Anaina Schmidt","Sul",
D31="Rose - Nelvaira","Sul",
D31="Henrik Von Muhlen","Serra",
TRUE,""
)</f>
        <v>#NAME?</v>
      </c>
      <c r="G31" t="s">
        <v>30</v>
      </c>
      <c r="H31" t="s">
        <v>31</v>
      </c>
      <c r="I31">
        <v>46198</v>
      </c>
      <c r="J31" t="s">
        <v>34</v>
      </c>
    </row>
    <row r="32" spans="1:11" x14ac:dyDescent="0.3">
      <c r="A32" t="s">
        <v>77</v>
      </c>
      <c r="B32" t="s">
        <v>27</v>
      </c>
      <c r="C32">
        <f t="shared" si="0"/>
        <v>1575</v>
      </c>
      <c r="D32" t="s">
        <v>33</v>
      </c>
      <c r="E32" t="s">
        <v>29</v>
      </c>
      <c r="F32" t="e" cm="1">
        <f t="array" aca="1" ref="F32" ca="1">IFS(
D32="Andreia Lopes","Serra",
D32="Arlecio Lindemann","Sul",
D32="Dionis Jose","Vale dos Sinos",
D32="Douglas Montagna","Grande POA",
D32="Elisiane Lambrechtt","Grande POA",
D32="Gislaine Muller","Vale dos Sinos",
D32="Henrique Godinho","Grande POA",
D32="Rose - Nelvara","Sul",
D32="Viviane Botelho","Sul",
D32="Ariane Quebao","Grande POA",
D32="Camila Arruda","Sul",
D32="Jairo Costa","Sul",
D32="Moacir Lopes","Grande POA",
D32="Nei Xavier","Grande POA",
D32="Raquel Ricardo","Vale dos Sinos",
D32="Tatiana Lacerda","Serra",
D32="Timoteo Hellwing","Sul",
D32="Volnei Klug","Sul",
D32="Wagner da Silva","Vale dos Sinos",
D32="Marcelo de Souza","Sul",
D32="Fernando Moura","Serra",
D32="Paulo Renato","Litoral",
D32="Vinicios da Luz","Litoral",
D32="Bruno Santos","Litoral",
D32="Mauricio Keenan","Sul",
D32="Cristielen","Litoral",
D32="Juliano Lause","Grande POA",
D32="Thiago Fraga","Vale dos Sinos",
D32="Natalia","Vale dos Sinos",
D32="Guilherme Juhliano","Grande POA",
D32="Timoteo","Sul",
D32="Carlos Alberto","Sul",
D32="Anaina Schmidt","Sul",
D32="Rose - Nelvaira","Sul",
D32="Henrik Von Muhlen","Serra",
TRUE,""
)</f>
        <v>#NAME?</v>
      </c>
      <c r="G32" t="s">
        <v>30</v>
      </c>
      <c r="H32" t="s">
        <v>31</v>
      </c>
      <c r="I32">
        <v>46198</v>
      </c>
      <c r="J32" t="s">
        <v>34</v>
      </c>
    </row>
    <row r="33" spans="1:11" x14ac:dyDescent="0.3">
      <c r="A33">
        <v>32156</v>
      </c>
      <c r="B33" t="s">
        <v>27</v>
      </c>
      <c r="C33">
        <f t="shared" si="0"/>
        <v>1596</v>
      </c>
      <c r="D33" t="s">
        <v>62</v>
      </c>
      <c r="E33" t="s">
        <v>29</v>
      </c>
      <c r="F33" t="e" cm="1">
        <f t="array" aca="1" ref="F33" ca="1">IFS(
D33="Andreia Lopes","Serra",
D33="Arlecio Lindemann","Sul",
D33="Dionis Jose","Vale dos Sinos",
D33="Douglas Montagna","Grande POA",
D33="Elisiane Lambrechtt","Grande POA",
D33="Gislaine Muller","Vale dos Sinos",
D33="Henrique Godinho","Grande POA",
D33="Rose - Nelvara","Sul",
D33="Viviane Botelho","Sul",
D33="Ariane Quebao","Grande POA",
D33="Camila Arruda","Sul",
D33="Jairo Costa","Sul",
D33="Moacir Lopes","Grande POA",
D33="Nei Xavier","Grande POA",
D33="Raquel Ricardo","Vale dos Sinos",
D33="Tatiana Lacerda","Serra",
D33="Timoteo Hellwing","Sul",
D33="Volnei Klug","Sul",
D33="Wagner da Silva","Vale dos Sinos",
D33="Marcelo de Souza","Sul",
D33="Fernando Moura","Serra",
D33="Paulo Renato","Litoral",
D33="Vinicios da Luz","Litoral",
D33="Bruno Santos","Litoral",
D33="Mauricio Keenan","Sul",
D33="Cristielen","Litoral",
D33="Juliano Lause","Grande POA",
D33="Thiago Fraga","Vale dos Sinos",
D33="Natalia","Vale dos Sinos",
D33="Guilherme Juhliano","Grande POA",
D33="Timoteo","Sul",
D33="Carlos Alberto","Sul",
D33="Anaina Schmidt","Sul",
D33="Rose - Nelvaira","Sul",
D33="Henrik Von Muhlen","Serra",
TRUE,""
)</f>
        <v>#NAME?</v>
      </c>
      <c r="G33" t="s">
        <v>30</v>
      </c>
      <c r="H33" t="s">
        <v>31</v>
      </c>
      <c r="I33">
        <v>46198</v>
      </c>
      <c r="J33" t="s">
        <v>34</v>
      </c>
    </row>
    <row r="34" spans="1:11" x14ac:dyDescent="0.3">
      <c r="A34">
        <v>45001</v>
      </c>
      <c r="B34" t="s">
        <v>27</v>
      </c>
      <c r="C34">
        <f t="shared" si="0"/>
        <v>1429</v>
      </c>
      <c r="D34" t="s">
        <v>78</v>
      </c>
      <c r="E34" t="s">
        <v>29</v>
      </c>
      <c r="F34" t="e" cm="1">
        <f t="array" aca="1" ref="F34" ca="1">IFS(
D34="Andreia Lopes","Serra",
D34="Arlecio Lindemann","Sul",
D34="Dionis Jose","Vale dos Sinos",
D34="Douglas Montagna","Grande POA",
D34="Elisiane Lambrechtt","Grande POA",
D34="Gislaine Muller","Vale dos Sinos",
D34="Henrique Godinho","Grande POA",
D34="Rose - Nelvara","Sul",
D34="Viviane Botelho","Sul",
D34="Ariane Quebao","Grande POA",
D34="Camila Arruda","Sul",
D34="Jairo Costa","Sul",
D34="Moacir Lopes","Grande POA",
D34="Nei Xavier","Grande POA",
D34="Raquel Ricardo","Vale dos Sinos",
D34="Tatiana Lacerda","Serra",
D34="Timoteo Hellwing","Sul",
D34="Volnei Klug","Sul",
D34="Wagner da Silva","Vale dos Sinos",
D34="Marcelo de Souza","Sul",
D34="Fernando Moura","Serra",
D34="Paulo Renato","Litoral",
D34="Vinicios da Luz","Litoral",
D34="Bruno Santos","Litoral",
D34="Mauricio Keenan","Sul",
D34="Cristielen","Litoral",
D34="Juliano Lause","Grande POA",
D34="Thiago Fraga","Vale dos Sinos",
D34="Natalia","Vale dos Sinos",
D34="Guilherme Juhliano","Grande POA",
D34="Timoteo","Sul",
D34="Carlos Alberto","Sul",
D34="Anaina Schmidt","Sul",
D34="Rose - Nelvaira","Sul",
D34="Henrik Von Muhlen","Serra",
TRUE,""
)</f>
        <v>#NAME?</v>
      </c>
      <c r="G34" t="s">
        <v>30</v>
      </c>
      <c r="H34" t="s">
        <v>31</v>
      </c>
      <c r="I34">
        <v>46198</v>
      </c>
      <c r="J34" t="s">
        <v>34</v>
      </c>
    </row>
    <row r="35" spans="1:11" x14ac:dyDescent="0.3">
      <c r="A35">
        <v>38288</v>
      </c>
      <c r="B35" t="s">
        <v>27</v>
      </c>
      <c r="C35">
        <f t="shared" si="0"/>
        <v>9886</v>
      </c>
      <c r="D35" t="s">
        <v>39</v>
      </c>
      <c r="E35" t="s">
        <v>29</v>
      </c>
      <c r="F35" t="e" cm="1">
        <f t="array" aca="1" ref="F35" ca="1">IFS(
D35="Andreia Lopes","Serra",
D35="Arlecio Lindemann","Sul",
D35="Dionis Jose","Vale dos Sinos",
D35="Douglas Montagna","Grande POA",
D35="Elisiane Lambrechtt","Grande POA",
D35="Gislaine Muller","Vale dos Sinos",
D35="Henrique Godinho","Grande POA",
D35="Rose - Nelvara","Sul",
D35="Viviane Botelho","Sul",
D35="Ariane Quebao","Grande POA",
D35="Camila Arruda","Sul",
D35="Jairo Costa","Sul",
D35="Moacir Lopes","Grande POA",
D35="Nei Xavier","Grande POA",
D35="Raquel Ricardo","Vale dos Sinos",
D35="Tatiana Lacerda","Serra",
D35="Timoteo Hellwing","Sul",
D35="Volnei Klug","Sul",
D35="Wagner da Silva","Vale dos Sinos",
D35="Marcelo de Souza","Sul",
D35="Fernando Moura","Serra",
D35="Paulo Renato","Litoral",
D35="Vinicios da Luz","Litoral",
D35="Bruno Santos","Litoral",
D35="Mauricio Keenan","Sul",
D35="Cristielen","Litoral",
D35="Juliano Lause","Grande POA",
D35="Thiago Fraga","Vale dos Sinos",
D35="Natalia","Vale dos Sinos",
D35="Guilherme Juhliano","Grande POA",
D35="Timoteo","Sul",
D35="Carlos Alberto","Sul",
D35="Anaina Schmidt","Sul",
D35="Rose - Nelvaira","Sul",
D35="Henrik Von Muhlen","Serra",
TRUE,""
)</f>
        <v>#NAME?</v>
      </c>
      <c r="G35" t="s">
        <v>30</v>
      </c>
      <c r="H35" t="s">
        <v>31</v>
      </c>
      <c r="I35">
        <v>46198</v>
      </c>
      <c r="J35" t="s">
        <v>34</v>
      </c>
    </row>
    <row r="36" spans="1:11" x14ac:dyDescent="0.3">
      <c r="A36">
        <v>36248</v>
      </c>
      <c r="B36" t="s">
        <v>79</v>
      </c>
      <c r="C36">
        <f t="shared" si="0"/>
        <v>1596</v>
      </c>
      <c r="D36" t="s">
        <v>62</v>
      </c>
      <c r="E36" t="s">
        <v>29</v>
      </c>
      <c r="F36" t="e" cm="1">
        <f t="array" aca="1" ref="F36" ca="1">IFS(
D36="Andreia Lopes","Serra",
D36="Arlecio Lindemann","Sul",
D36="Dionis Jose","Vale dos Sinos",
D36="Douglas Montagna","Grande POA",
D36="Elisiane Lambrechtt","Grande POA",
D36="Gislaine Muller","Vale dos Sinos",
D36="Henrique Godinho","Grande POA",
D36="Rose - Nelvara","Sul",
D36="Viviane Botelho","Sul",
D36="Ariane Quebao","Grande POA",
D36="Camila Arruda","Sul",
D36="Jairo Costa","Sul",
D36="Moacir Lopes","Grande POA",
D36="Nei Xavier","Grande POA",
D36="Raquel Ricardo","Vale dos Sinos",
D36="Tatiana Lacerda","Serra",
D36="Timoteo Hellwing","Sul",
D36="Volnei Klug","Sul",
D36="Wagner da Silva","Vale dos Sinos",
D36="Marcelo de Souza","Sul",
D36="Fernando Moura","Serra",
D36="Paulo Renato","Litoral",
D36="Vinicios da Luz","Litoral",
D36="Bruno Santos","Litoral",
D36="Mauricio Keenan","Sul",
D36="Cristielen","Litoral",
D36="Juliano Lause","Grande POA",
D36="Thiago Fraga","Vale dos Sinos",
D36="Natalia","Vale dos Sinos",
D36="Guilherme Juhliano","Grande POA",
D36="Timoteo","Sul",
D36="Carlos Alberto","Sul",
D36="Anaina Schmidt","Sul",
D36="Rose - Nelvaira","Sul",
D36="Henrik Von Muhlen","Serra",
TRUE,""
)</f>
        <v>#NAME?</v>
      </c>
      <c r="G36" t="s">
        <v>30</v>
      </c>
      <c r="H36" t="s">
        <v>31</v>
      </c>
      <c r="I36">
        <v>46198</v>
      </c>
      <c r="J36" t="s">
        <v>32</v>
      </c>
      <c r="K36">
        <v>264.39</v>
      </c>
    </row>
    <row r="37" spans="1:11" x14ac:dyDescent="0.3">
      <c r="A37">
        <v>41723</v>
      </c>
      <c r="B37" t="s">
        <v>27</v>
      </c>
      <c r="C37">
        <f t="shared" si="0"/>
        <v>1464</v>
      </c>
      <c r="D37" t="s">
        <v>64</v>
      </c>
      <c r="E37" t="s">
        <v>29</v>
      </c>
      <c r="F37" t="e" cm="1">
        <f t="array" aca="1" ref="F37" ca="1">IFS(
D37="Andreia Lopes","Serra",
D37="Arlecio Lindemann","Sul",
D37="Dionis Jose","Vale dos Sinos",
D37="Douglas Montagna","Grande POA",
D37="Elisiane Lambrechtt","Grande POA",
D37="Gislaine Muller","Vale dos Sinos",
D37="Henrique Godinho","Grande POA",
D37="Rose - Nelvara","Sul",
D37="Viviane Botelho","Sul",
D37="Ariane Quebao","Grande POA",
D37="Camila Arruda","Sul",
D37="Jairo Costa","Sul",
D37="Moacir Lopes","Grande POA",
D37="Nei Xavier","Grande POA",
D37="Raquel Ricardo","Vale dos Sinos",
D37="Tatiana Lacerda","Serra",
D37="Timoteo Hellwing","Sul",
D37="Volnei Klug","Sul",
D37="Wagner da Silva","Vale dos Sinos",
D37="Marcelo de Souza","Sul",
D37="Fernando Moura","Serra",
D37="Paulo Renato","Litoral",
D37="Vinicios da Luz","Litoral",
D37="Bruno Santos","Litoral",
D37="Mauricio Keenan","Sul",
D37="Cristielen","Litoral",
D37="Juliano Lause","Grande POA",
D37="Thiago Fraga","Vale dos Sinos",
D37="Natalia","Vale dos Sinos",
D37="Guilherme Juhliano","Grande POA",
D37="Timoteo","Sul",
D37="Carlos Alberto","Sul",
D37="Anaina Schmidt","Sul",
D37="Rose - Nelvaira","Sul",
D37="Henrik Von Muhlen","Serra",
TRUE,""
)</f>
        <v>#NAME?</v>
      </c>
      <c r="G37" t="s">
        <v>30</v>
      </c>
      <c r="H37" t="s">
        <v>31</v>
      </c>
      <c r="I37">
        <v>46198</v>
      </c>
      <c r="J37" t="s">
        <v>34</v>
      </c>
    </row>
    <row r="38" spans="1:11" x14ac:dyDescent="0.3">
      <c r="A38">
        <v>41371</v>
      </c>
      <c r="B38" t="s">
        <v>27</v>
      </c>
      <c r="C38">
        <f t="shared" si="0"/>
        <v>1596</v>
      </c>
      <c r="D38" t="s">
        <v>62</v>
      </c>
      <c r="E38" t="s">
        <v>29</v>
      </c>
      <c r="F38" t="e" cm="1">
        <f t="array" aca="1" ref="F38" ca="1">IFS(
D38="Andreia Lopes","Serra",
D38="Arlecio Lindemann","Sul",
D38="Dionis Jose","Vale dos Sinos",
D38="Douglas Montagna","Grande POA",
D38="Elisiane Lambrechtt","Grande POA",
D38="Gislaine Muller","Vale dos Sinos",
D38="Henrique Godinho","Grande POA",
D38="Rose - Nelvara","Sul",
D38="Viviane Botelho","Sul",
D38="Ariane Quebao","Grande POA",
D38="Camila Arruda","Sul",
D38="Jairo Costa","Sul",
D38="Moacir Lopes","Grande POA",
D38="Nei Xavier","Grande POA",
D38="Raquel Ricardo","Vale dos Sinos",
D38="Tatiana Lacerda","Serra",
D38="Timoteo Hellwing","Sul",
D38="Volnei Klug","Sul",
D38="Wagner da Silva","Vale dos Sinos",
D38="Marcelo de Souza","Sul",
D38="Fernando Moura","Serra",
D38="Paulo Renato","Litoral",
D38="Vinicios da Luz","Litoral",
D38="Bruno Santos","Litoral",
D38="Mauricio Keenan","Sul",
D38="Cristielen","Litoral",
D38="Juliano Lause","Grande POA",
D38="Thiago Fraga","Vale dos Sinos",
D38="Natalia","Vale dos Sinos",
D38="Guilherme Juhliano","Grande POA",
D38="Timoteo","Sul",
D38="Carlos Alberto","Sul",
D38="Anaina Schmidt","Sul",
D38="Rose - Nelvaira","Sul",
D38="Henrik Von Muhlen","Serra",
TRUE,""
)</f>
        <v>#NAME?</v>
      </c>
      <c r="G38" t="s">
        <v>30</v>
      </c>
      <c r="H38" t="s">
        <v>31</v>
      </c>
      <c r="I38">
        <v>46198</v>
      </c>
      <c r="J38" t="s">
        <v>34</v>
      </c>
    </row>
    <row r="39" spans="1:11" x14ac:dyDescent="0.3">
      <c r="A39">
        <v>38579</v>
      </c>
      <c r="B39" t="s">
        <v>27</v>
      </c>
      <c r="C39">
        <f t="shared" si="0"/>
        <v>1429</v>
      </c>
      <c r="D39" t="s">
        <v>78</v>
      </c>
      <c r="E39" t="s">
        <v>29</v>
      </c>
      <c r="F39" t="e" cm="1">
        <f t="array" aca="1" ref="F39" ca="1">IFS(
D39="Andreia Lopes","Serra",
D39="Arlecio Lindemann","Sul",
D39="Dionis Jose","Vale dos Sinos",
D39="Douglas Montagna","Grande POA",
D39="Elisiane Lambrechtt","Grande POA",
D39="Gislaine Muller","Vale dos Sinos",
D39="Henrique Godinho","Grande POA",
D39="Rose - Nelvara","Sul",
D39="Viviane Botelho","Sul",
D39="Ariane Quebao","Grande POA",
D39="Camila Arruda","Sul",
D39="Jairo Costa","Sul",
D39="Moacir Lopes","Grande POA",
D39="Nei Xavier","Grande POA",
D39="Raquel Ricardo","Vale dos Sinos",
D39="Tatiana Lacerda","Serra",
D39="Timoteo Hellwing","Sul",
D39="Volnei Klug","Sul",
D39="Wagner da Silva","Vale dos Sinos",
D39="Marcelo de Souza","Sul",
D39="Fernando Moura","Serra",
D39="Paulo Renato","Litoral",
D39="Vinicios da Luz","Litoral",
D39="Bruno Santos","Litoral",
D39="Mauricio Keenan","Sul",
D39="Cristielen","Litoral",
D39="Juliano Lause","Grande POA",
D39="Thiago Fraga","Vale dos Sinos",
D39="Natalia","Vale dos Sinos",
D39="Guilherme Juhliano","Grande POA",
D39="Timoteo","Sul",
D39="Carlos Alberto","Sul",
D39="Anaina Schmidt","Sul",
D39="Rose - Nelvaira","Sul",
D39="Henrik Von Muhlen","Serra",
TRUE,""
)</f>
        <v>#NAME?</v>
      </c>
      <c r="G39" t="s">
        <v>30</v>
      </c>
      <c r="H39" t="s">
        <v>31</v>
      </c>
      <c r="I39">
        <v>46198</v>
      </c>
      <c r="J39" t="s">
        <v>34</v>
      </c>
    </row>
    <row r="40" spans="1:11" x14ac:dyDescent="0.3">
      <c r="A40">
        <v>43770</v>
      </c>
      <c r="B40" t="s">
        <v>27</v>
      </c>
      <c r="C40">
        <f t="shared" si="0"/>
        <v>1464</v>
      </c>
      <c r="D40" t="s">
        <v>64</v>
      </c>
      <c r="E40" t="s">
        <v>29</v>
      </c>
      <c r="F40" t="e" cm="1">
        <f t="array" aca="1" ref="F40" ca="1">IFS(
D40="Andreia Lopes","Serra",
D40="Arlecio Lindemann","Sul",
D40="Dionis Jose","Vale dos Sinos",
D40="Douglas Montagna","Grande POA",
D40="Elisiane Lambrechtt","Grande POA",
D40="Gislaine Muller","Vale dos Sinos",
D40="Henrique Godinho","Grande POA",
D40="Rose - Nelvara","Sul",
D40="Viviane Botelho","Sul",
D40="Ariane Quebao","Grande POA",
D40="Camila Arruda","Sul",
D40="Jairo Costa","Sul",
D40="Moacir Lopes","Grande POA",
D40="Nei Xavier","Grande POA",
D40="Raquel Ricardo","Vale dos Sinos",
D40="Tatiana Lacerda","Serra",
D40="Timoteo Hellwing","Sul",
D40="Volnei Klug","Sul",
D40="Wagner da Silva","Vale dos Sinos",
D40="Marcelo de Souza","Sul",
D40="Fernando Moura","Serra",
D40="Paulo Renato","Litoral",
D40="Vinicios da Luz","Litoral",
D40="Bruno Santos","Litoral",
D40="Mauricio Keenan","Sul",
D40="Cristielen","Litoral",
D40="Juliano Lause","Grande POA",
D40="Thiago Fraga","Vale dos Sinos",
D40="Natalia","Vale dos Sinos",
D40="Guilherme Juhliano","Grande POA",
D40="Timoteo","Sul",
D40="Carlos Alberto","Sul",
D40="Anaina Schmidt","Sul",
D40="Rose - Nelvaira","Sul",
D40="Henrik Von Muhlen","Serra",
TRUE,""
)</f>
        <v>#NAME?</v>
      </c>
      <c r="G40" t="s">
        <v>30</v>
      </c>
      <c r="H40" t="s">
        <v>31</v>
      </c>
      <c r="I40">
        <v>46198</v>
      </c>
      <c r="J40" t="s">
        <v>34</v>
      </c>
    </row>
    <row r="41" spans="1:11" x14ac:dyDescent="0.3">
      <c r="A41">
        <v>30929</v>
      </c>
      <c r="B41" t="s">
        <v>27</v>
      </c>
      <c r="C41">
        <f t="shared" si="0"/>
        <v>1464</v>
      </c>
      <c r="D41" t="s">
        <v>64</v>
      </c>
      <c r="E41" t="s">
        <v>29</v>
      </c>
      <c r="F41" t="e" cm="1">
        <f t="array" aca="1" ref="F41" ca="1">IFS(
D41="Andreia Lopes","Serra",
D41="Arlecio Lindemann","Sul",
D41="Dionis Jose","Vale dos Sinos",
D41="Douglas Montagna","Grande POA",
D41="Elisiane Lambrechtt","Grande POA",
D41="Gislaine Muller","Vale dos Sinos",
D41="Henrique Godinho","Grande POA",
D41="Rose - Nelvara","Sul",
D41="Viviane Botelho","Sul",
D41="Ariane Quebao","Grande POA",
D41="Camila Arruda","Sul",
D41="Jairo Costa","Sul",
D41="Moacir Lopes","Grande POA",
D41="Nei Xavier","Grande POA",
D41="Raquel Ricardo","Vale dos Sinos",
D41="Tatiana Lacerda","Serra",
D41="Timoteo Hellwing","Sul",
D41="Volnei Klug","Sul",
D41="Wagner da Silva","Vale dos Sinos",
D41="Marcelo de Souza","Sul",
D41="Fernando Moura","Serra",
D41="Paulo Renato","Litoral",
D41="Vinicios da Luz","Litoral",
D41="Bruno Santos","Litoral",
D41="Mauricio Keenan","Sul",
D41="Cristielen","Litoral",
D41="Juliano Lause","Grande POA",
D41="Thiago Fraga","Vale dos Sinos",
D41="Natalia","Vale dos Sinos",
D41="Guilherme Juhliano","Grande POA",
D41="Timoteo","Sul",
D41="Carlos Alberto","Sul",
D41="Anaina Schmidt","Sul",
D41="Rose - Nelvaira","Sul",
D41="Henrik Von Muhlen","Serra",
TRUE,""
)</f>
        <v>#NAME?</v>
      </c>
      <c r="G41" t="s">
        <v>30</v>
      </c>
      <c r="H41" t="s">
        <v>31</v>
      </c>
      <c r="I41">
        <v>46198</v>
      </c>
      <c r="J41" t="s">
        <v>32</v>
      </c>
      <c r="K41">
        <v>1258</v>
      </c>
    </row>
    <row r="42" spans="1:11" x14ac:dyDescent="0.3">
      <c r="A42">
        <v>44393</v>
      </c>
      <c r="B42" t="s">
        <v>27</v>
      </c>
      <c r="C42">
        <f t="shared" si="0"/>
        <v>1211</v>
      </c>
      <c r="D42" t="s">
        <v>28</v>
      </c>
      <c r="E42" t="s">
        <v>29</v>
      </c>
      <c r="F42" t="e" cm="1">
        <f t="array" aca="1" ref="F42" ca="1">IFS(
D42="Andreia Lopes","Serra",
D42="Arlecio Lindemann","Sul",
D42="Dionis Jose","Vale dos Sinos",
D42="Douglas Montagna","Grande POA",
D42="Elisiane Lambrechtt","Grande POA",
D42="Gislaine Muller","Vale dos Sinos",
D42="Henrique Godinho","Grande POA",
D42="Rose - Nelvara","Sul",
D42="Viviane Botelho","Sul",
D42="Ariane Quebao","Grande POA",
D42="Camila Arruda","Sul",
D42="Jairo Costa","Sul",
D42="Moacir Lopes","Grande POA",
D42="Nei Xavier","Grande POA",
D42="Raquel Ricardo","Vale dos Sinos",
D42="Tatiana Lacerda","Serra",
D42="Timoteo Hellwing","Sul",
D42="Volnei Klug","Sul",
D42="Wagner da Silva","Vale dos Sinos",
D42="Marcelo de Souza","Sul",
D42="Fernando Moura","Serra",
D42="Paulo Renato","Litoral",
D42="Vinicios da Luz","Litoral",
D42="Bruno Santos","Litoral",
D42="Mauricio Keenan","Sul",
D42="Cristielen","Litoral",
D42="Juliano Lause","Grande POA",
D42="Thiago Fraga","Vale dos Sinos",
D42="Natalia","Vale dos Sinos",
D42="Guilherme Juhliano","Grande POA",
D42="Timoteo","Sul",
D42="Carlos Alberto","Sul",
D42="Anaina Schmidt","Sul",
D42="Rose - Nelvaira","Sul",
D42="Henrik Von Muhlen","Serra",
TRUE,""
)</f>
        <v>#NAME?</v>
      </c>
      <c r="G42" t="s">
        <v>30</v>
      </c>
      <c r="H42" t="s">
        <v>31</v>
      </c>
      <c r="I42">
        <v>46198</v>
      </c>
      <c r="J42" t="s">
        <v>34</v>
      </c>
    </row>
    <row r="43" spans="1:11" x14ac:dyDescent="0.3">
      <c r="A43">
        <v>45284</v>
      </c>
      <c r="B43" t="s">
        <v>27</v>
      </c>
      <c r="C43">
        <f t="shared" si="0"/>
        <v>1429</v>
      </c>
      <c r="D43" t="s">
        <v>78</v>
      </c>
      <c r="E43" t="s">
        <v>29</v>
      </c>
      <c r="F43" t="e" cm="1">
        <f t="array" aca="1" ref="F43" ca="1">IFS(
D43="Andreia Lopes","Serra",
D43="Arlecio Lindemann","Sul",
D43="Dionis Jose","Vale dos Sinos",
D43="Douglas Montagna","Grande POA",
D43="Elisiane Lambrechtt","Grande POA",
D43="Gislaine Muller","Vale dos Sinos",
D43="Henrique Godinho","Grande POA",
D43="Rose - Nelvara","Sul",
D43="Viviane Botelho","Sul",
D43="Ariane Quebao","Grande POA",
D43="Camila Arruda","Sul",
D43="Jairo Costa","Sul",
D43="Moacir Lopes","Grande POA",
D43="Nei Xavier","Grande POA",
D43="Raquel Ricardo","Vale dos Sinos",
D43="Tatiana Lacerda","Serra",
D43="Timoteo Hellwing","Sul",
D43="Volnei Klug","Sul",
D43="Wagner da Silva","Vale dos Sinos",
D43="Marcelo de Souza","Sul",
D43="Fernando Moura","Serra",
D43="Paulo Renato","Litoral",
D43="Vinicios da Luz","Litoral",
D43="Bruno Santos","Litoral",
D43="Mauricio Keenan","Sul",
D43="Cristielen","Litoral",
D43="Juliano Lause","Grande POA",
D43="Thiago Fraga","Vale dos Sinos",
D43="Natalia","Vale dos Sinos",
D43="Guilherme Juhliano","Grande POA",
D43="Timoteo","Sul",
D43="Carlos Alberto","Sul",
D43="Anaina Schmidt","Sul",
D43="Rose - Nelvaira","Sul",
D43="Henrik Von Muhlen","Serra",
TRUE,""
)</f>
        <v>#NAME?</v>
      </c>
      <c r="G43" t="s">
        <v>30</v>
      </c>
      <c r="H43" t="s">
        <v>31</v>
      </c>
      <c r="I43">
        <v>46198</v>
      </c>
      <c r="J43" t="s">
        <v>34</v>
      </c>
    </row>
    <row r="44" spans="1:11" x14ac:dyDescent="0.3">
      <c r="A44">
        <v>45016</v>
      </c>
      <c r="B44" t="s">
        <v>27</v>
      </c>
      <c r="C44">
        <f t="shared" si="0"/>
        <v>1596</v>
      </c>
      <c r="D44" t="s">
        <v>62</v>
      </c>
      <c r="E44" t="s">
        <v>29</v>
      </c>
      <c r="F44" t="e" cm="1">
        <f t="array" aca="1" ref="F44" ca="1">IFS(
D44="Andreia Lopes","Serra",
D44="Arlecio Lindemann","Sul",
D44="Dionis Jose","Vale dos Sinos",
D44="Douglas Montagna","Grande POA",
D44="Elisiane Lambrechtt","Grande POA",
D44="Gislaine Muller","Vale dos Sinos",
D44="Henrique Godinho","Grande POA",
D44="Rose - Nelvara","Sul",
D44="Viviane Botelho","Sul",
D44="Ariane Quebao","Grande POA",
D44="Camila Arruda","Sul",
D44="Jairo Costa","Sul",
D44="Moacir Lopes","Grande POA",
D44="Nei Xavier","Grande POA",
D44="Raquel Ricardo","Vale dos Sinos",
D44="Tatiana Lacerda","Serra",
D44="Timoteo Hellwing","Sul",
D44="Volnei Klug","Sul",
D44="Wagner da Silva","Vale dos Sinos",
D44="Marcelo de Souza","Sul",
D44="Fernando Moura","Serra",
D44="Paulo Renato","Litoral",
D44="Vinicios da Luz","Litoral",
D44="Bruno Santos","Litoral",
D44="Mauricio Keenan","Sul",
D44="Cristielen","Litoral",
D44="Juliano Lause","Grande POA",
D44="Thiago Fraga","Vale dos Sinos",
D44="Natalia","Vale dos Sinos",
D44="Guilherme Juhliano","Grande POA",
D44="Timoteo","Sul",
D44="Carlos Alberto","Sul",
D44="Anaina Schmidt","Sul",
D44="Rose - Nelvaira","Sul",
D44="Henrik Von Muhlen","Serra",
TRUE,""
)</f>
        <v>#NAME?</v>
      </c>
      <c r="G44" t="s">
        <v>30</v>
      </c>
      <c r="H44" t="s">
        <v>31</v>
      </c>
      <c r="I44">
        <v>46198</v>
      </c>
      <c r="J44" t="s">
        <v>34</v>
      </c>
    </row>
    <row r="45" spans="1:11" x14ac:dyDescent="0.3">
      <c r="A45">
        <v>45126</v>
      </c>
      <c r="B45" t="s">
        <v>27</v>
      </c>
      <c r="C45">
        <f t="shared" si="0"/>
        <v>1211</v>
      </c>
      <c r="D45" t="s">
        <v>28</v>
      </c>
      <c r="E45" t="s">
        <v>29</v>
      </c>
      <c r="F45" t="e" cm="1">
        <f t="array" aca="1" ref="F45" ca="1">IFS(
D45="Andreia Lopes","Serra",
D45="Arlecio Lindemann","Sul",
D45="Dionis Jose","Vale dos Sinos",
D45="Douglas Montagna","Grande POA",
D45="Elisiane Lambrechtt","Grande POA",
D45="Gislaine Muller","Vale dos Sinos",
D45="Henrique Godinho","Grande POA",
D45="Rose - Nelvara","Sul",
D45="Viviane Botelho","Sul",
D45="Ariane Quebao","Grande POA",
D45="Camila Arruda","Sul",
D45="Jairo Costa","Sul",
D45="Moacir Lopes","Grande POA",
D45="Nei Xavier","Grande POA",
D45="Raquel Ricardo","Vale dos Sinos",
D45="Tatiana Lacerda","Serra",
D45="Timoteo Hellwing","Sul",
D45="Volnei Klug","Sul",
D45="Wagner da Silva","Vale dos Sinos",
D45="Marcelo de Souza","Sul",
D45="Fernando Moura","Serra",
D45="Paulo Renato","Litoral",
D45="Vinicios da Luz","Litoral",
D45="Bruno Santos","Litoral",
D45="Mauricio Keenan","Sul",
D45="Cristielen","Litoral",
D45="Juliano Lause","Grande POA",
D45="Thiago Fraga","Vale dos Sinos",
D45="Natalia","Vale dos Sinos",
D45="Guilherme Juhliano","Grande POA",
D45="Timoteo","Sul",
D45="Carlos Alberto","Sul",
D45="Anaina Schmidt","Sul",
D45="Rose - Nelvaira","Sul",
D45="Henrik Von Muhlen","Serra",
TRUE,""
)</f>
        <v>#NAME?</v>
      </c>
      <c r="G45" t="s">
        <v>30</v>
      </c>
      <c r="H45" t="s">
        <v>31</v>
      </c>
      <c r="I45">
        <v>46198</v>
      </c>
      <c r="J45" t="s">
        <v>34</v>
      </c>
    </row>
    <row r="46" spans="1:11" x14ac:dyDescent="0.3">
      <c r="A46">
        <v>41854</v>
      </c>
      <c r="B46" t="s">
        <v>27</v>
      </c>
      <c r="C46">
        <f t="shared" si="0"/>
        <v>1464</v>
      </c>
      <c r="D46" t="s">
        <v>64</v>
      </c>
      <c r="E46" t="s">
        <v>29</v>
      </c>
      <c r="F46" t="e" cm="1">
        <f t="array" aca="1" ref="F46" ca="1">IFS(
D46="Andreia Lopes","Serra",
D46="Arlecio Lindemann","Sul",
D46="Dionis Jose","Vale dos Sinos",
D46="Douglas Montagna","Grande POA",
D46="Elisiane Lambrechtt","Grande POA",
D46="Gislaine Muller","Vale dos Sinos",
D46="Henrique Godinho","Grande POA",
D46="Rose - Nelvara","Sul",
D46="Viviane Botelho","Sul",
D46="Ariane Quebao","Grande POA",
D46="Camila Arruda","Sul",
D46="Jairo Costa","Sul",
D46="Moacir Lopes","Grande POA",
D46="Nei Xavier","Grande POA",
D46="Raquel Ricardo","Vale dos Sinos",
D46="Tatiana Lacerda","Serra",
D46="Timoteo Hellwing","Sul",
D46="Volnei Klug","Sul",
D46="Wagner da Silva","Vale dos Sinos",
D46="Marcelo de Souza","Sul",
D46="Fernando Moura","Serra",
D46="Paulo Renato","Litoral",
D46="Vinicios da Luz","Litoral",
D46="Bruno Santos","Litoral",
D46="Mauricio Keenan","Sul",
D46="Cristielen","Litoral",
D46="Juliano Lause","Grande POA",
D46="Thiago Fraga","Vale dos Sinos",
D46="Natalia","Vale dos Sinos",
D46="Guilherme Juhliano","Grande POA",
D46="Timoteo","Sul",
D46="Carlos Alberto","Sul",
D46="Anaina Schmidt","Sul",
D46="Rose - Nelvaira","Sul",
D46="Henrik Von Muhlen","Serra",
TRUE,""
)</f>
        <v>#NAME?</v>
      </c>
      <c r="G46" t="s">
        <v>30</v>
      </c>
      <c r="H46" t="s">
        <v>31</v>
      </c>
      <c r="I46">
        <v>46198</v>
      </c>
      <c r="J46" t="s">
        <v>34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46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39"/>
  <sheetViews>
    <sheetView workbookViewId="0">
      <selection sqref="A1:R1"/>
    </sheetView>
  </sheetViews>
  <sheetFormatPr defaultRowHeight="15.6" x14ac:dyDescent="0.3"/>
  <sheetData>
    <row r="1" spans="1:18" x14ac:dyDescent="0.3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72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45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80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x14ac:dyDescent="0.3">
      <c r="A18">
        <v>44840</v>
      </c>
      <c r="B18" t="s">
        <v>27</v>
      </c>
      <c r="C18">
        <f t="shared" ref="C18:C39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1623</v>
      </c>
      <c r="D18" t="s">
        <v>81</v>
      </c>
      <c r="E18" t="s">
        <v>48</v>
      </c>
      <c r="F18" t="e" cm="1">
        <f t="array" aca="1" ref="F18" ca="1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#NAME?</v>
      </c>
      <c r="G18" t="s">
        <v>54</v>
      </c>
      <c r="H18" t="s">
        <v>82</v>
      </c>
      <c r="I18">
        <v>46199</v>
      </c>
      <c r="J18" t="s">
        <v>34</v>
      </c>
    </row>
    <row r="19" spans="1:11" x14ac:dyDescent="0.3">
      <c r="A19">
        <v>28212</v>
      </c>
      <c r="B19" t="s">
        <v>27</v>
      </c>
      <c r="C19">
        <f t="shared" si="0"/>
        <v>9808</v>
      </c>
      <c r="D19" t="s">
        <v>83</v>
      </c>
      <c r="E19" t="s">
        <v>48</v>
      </c>
      <c r="F19" t="e" cm="1">
        <f t="array" aca="1" ref="F19" ca="1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#NAME?</v>
      </c>
      <c r="G19" t="s">
        <v>52</v>
      </c>
      <c r="H19" t="s">
        <v>82</v>
      </c>
      <c r="I19">
        <v>46199</v>
      </c>
      <c r="J19" t="s">
        <v>34</v>
      </c>
    </row>
    <row r="20" spans="1:11" x14ac:dyDescent="0.3">
      <c r="A20">
        <v>36209</v>
      </c>
      <c r="B20" t="s">
        <v>27</v>
      </c>
      <c r="C20">
        <f t="shared" si="0"/>
        <v>1234</v>
      </c>
      <c r="D20" t="s">
        <v>57</v>
      </c>
      <c r="E20" t="s">
        <v>48</v>
      </c>
      <c r="F20" t="e" cm="1">
        <f t="array" aca="1" ref="F20" ca="1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#NAME?</v>
      </c>
      <c r="G20" t="s">
        <v>56</v>
      </c>
      <c r="H20" t="s">
        <v>82</v>
      </c>
      <c r="I20">
        <v>46199</v>
      </c>
      <c r="J20" t="s">
        <v>34</v>
      </c>
    </row>
    <row r="21" spans="1:11" x14ac:dyDescent="0.3">
      <c r="A21">
        <v>38462</v>
      </c>
      <c r="B21" t="s">
        <v>27</v>
      </c>
      <c r="C21">
        <f t="shared" si="0"/>
        <v>9863</v>
      </c>
      <c r="D21" t="s">
        <v>60</v>
      </c>
      <c r="E21" t="s">
        <v>48</v>
      </c>
      <c r="F21" t="e" cm="1">
        <f t="array" aca="1" ref="F21" ca="1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#NAME?</v>
      </c>
      <c r="G21" t="s">
        <v>52</v>
      </c>
      <c r="H21" t="s">
        <v>82</v>
      </c>
      <c r="I21">
        <v>46199</v>
      </c>
      <c r="J21" t="s">
        <v>32</v>
      </c>
      <c r="K21">
        <v>225.95</v>
      </c>
    </row>
    <row r="22" spans="1:11" x14ac:dyDescent="0.3">
      <c r="A22">
        <v>727</v>
      </c>
      <c r="B22" t="s">
        <v>27</v>
      </c>
      <c r="C22">
        <f t="shared" si="0"/>
        <v>1623</v>
      </c>
      <c r="D22" t="s">
        <v>81</v>
      </c>
      <c r="E22" t="s">
        <v>48</v>
      </c>
      <c r="F22" t="e" cm="1">
        <f t="array" aca="1" ref="F22" ca="1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#NAME?</v>
      </c>
      <c r="G22" t="s">
        <v>54</v>
      </c>
      <c r="H22" t="s">
        <v>82</v>
      </c>
      <c r="I22">
        <v>46199</v>
      </c>
      <c r="J22" t="s">
        <v>32</v>
      </c>
      <c r="K22">
        <v>491.6</v>
      </c>
    </row>
    <row r="23" spans="1:11" x14ac:dyDescent="0.3">
      <c r="A23">
        <v>37952</v>
      </c>
      <c r="B23" t="s">
        <v>27</v>
      </c>
      <c r="C23">
        <f t="shared" si="0"/>
        <v>1278</v>
      </c>
      <c r="D23" t="s">
        <v>66</v>
      </c>
      <c r="E23" t="s">
        <v>48</v>
      </c>
      <c r="F23" t="e" cm="1">
        <f t="array" aca="1" ref="F23" ca="1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#NAME?</v>
      </c>
      <c r="G23" t="s">
        <v>56</v>
      </c>
      <c r="H23" t="s">
        <v>82</v>
      </c>
      <c r="I23">
        <v>46199</v>
      </c>
      <c r="J23" t="s">
        <v>34</v>
      </c>
    </row>
    <row r="24" spans="1:11" x14ac:dyDescent="0.3">
      <c r="A24">
        <v>39756</v>
      </c>
      <c r="B24" t="s">
        <v>27</v>
      </c>
      <c r="C24">
        <f t="shared" si="0"/>
        <v>1596</v>
      </c>
      <c r="D24" t="s">
        <v>62</v>
      </c>
      <c r="E24" t="s">
        <v>29</v>
      </c>
      <c r="F24" t="e" cm="1">
        <f t="array" aca="1" ref="F24" ca="1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#NAME?</v>
      </c>
      <c r="G24" t="s">
        <v>30</v>
      </c>
      <c r="H24" t="s">
        <v>82</v>
      </c>
      <c r="I24">
        <v>46199</v>
      </c>
      <c r="J24" t="s">
        <v>34</v>
      </c>
    </row>
    <row r="25" spans="1:11" x14ac:dyDescent="0.3">
      <c r="A25">
        <v>37478</v>
      </c>
      <c r="B25" t="s">
        <v>27</v>
      </c>
      <c r="C25">
        <f t="shared" si="0"/>
        <v>1450</v>
      </c>
      <c r="D25" t="s">
        <v>84</v>
      </c>
      <c r="E25" t="s">
        <v>48</v>
      </c>
      <c r="F25" t="e" cm="1">
        <f t="array" aca="1" ref="F25" ca="1">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#NAME?</v>
      </c>
      <c r="G25" t="s">
        <v>49</v>
      </c>
      <c r="H25" t="s">
        <v>82</v>
      </c>
      <c r="I25">
        <v>46199</v>
      </c>
      <c r="J25" t="s">
        <v>32</v>
      </c>
      <c r="K25">
        <v>329.55</v>
      </c>
    </row>
    <row r="26" spans="1:11" x14ac:dyDescent="0.3">
      <c r="A26">
        <v>44712</v>
      </c>
      <c r="B26" t="s">
        <v>27</v>
      </c>
      <c r="C26">
        <f t="shared" si="0"/>
        <v>6127</v>
      </c>
      <c r="D26" t="s">
        <v>41</v>
      </c>
      <c r="E26" t="s">
        <v>48</v>
      </c>
      <c r="F26" t="e" cm="1">
        <f t="array" aca="1" ref="F26" ca="1">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#NAME?</v>
      </c>
      <c r="G26" t="s">
        <v>42</v>
      </c>
      <c r="H26" t="s">
        <v>82</v>
      </c>
      <c r="I26">
        <v>46199</v>
      </c>
      <c r="J26" t="s">
        <v>34</v>
      </c>
    </row>
    <row r="27" spans="1:11" x14ac:dyDescent="0.3">
      <c r="A27">
        <v>42829</v>
      </c>
      <c r="B27" t="s">
        <v>27</v>
      </c>
      <c r="C27">
        <f t="shared" si="0"/>
        <v>9905</v>
      </c>
      <c r="D27" t="s">
        <v>85</v>
      </c>
      <c r="E27" t="s">
        <v>48</v>
      </c>
      <c r="F27" t="e" cm="1">
        <f t="array" aca="1" ref="F27" ca="1">IFS(
D27="Andreia Lopes","Serra",
D27="Arlecio Lindemann","Sul",
D27="Dionis Jose","Vale dos Sinos",
D27="Douglas Montagna","Grande POA",
D27="Elisiane Lambrechtt","Grande POA",
D27="Gislaine Muller","Vale dos Sinos",
D27="Henrique Godinho","Grande POA",
D27="Rose - Nelvara","Sul",
D27="Viviane Botelho","Sul",
D27="Ariane Quebao","Grande POA",
D27="Camila Arruda","Sul",
D27="Jairo Costa","Sul",
D27="Moacir Lopes","Grande POA",
D27="Nei Xavier","Grande POA",
D27="Raquel Ricardo","Vale dos Sinos",
D27="Tatiana Lacerda","Serra",
D27="Timoteo Hellwing","Sul",
D27="Volnei Klug","Sul",
D27="Wagner da Silva","Vale dos Sinos",
D27="Marcelo de Souza","Sul",
D27="Fernando Moura","Serra",
D27="Paulo Renato","Litoral",
D27="Vinicios da Luz","Litoral",
D27="Bruno Santos","Litoral",
D27="Mauricio Keenan","Sul",
D27="Cristielen","Litoral",
D27="Juliano Lause","Grande POA",
D27="Thiago Fraga","Vale dos Sinos",
D27="Natalia","Vale dos Sinos",
D27="Guilherme Juhliano","Grande POA",
D27="Timoteo","Sul",
D27="Carlos Alberto","Sul",
D27="Anaina Schmidt","Sul",
D27="Rose - Nelvaira","Sul",
D27="Henrik Von Muhlen","Serra",
TRUE,""
)</f>
        <v>#NAME?</v>
      </c>
      <c r="G27" t="s">
        <v>42</v>
      </c>
      <c r="H27" t="s">
        <v>82</v>
      </c>
      <c r="I27">
        <v>46199</v>
      </c>
      <c r="J27" t="s">
        <v>34</v>
      </c>
    </row>
    <row r="28" spans="1:11" x14ac:dyDescent="0.3">
      <c r="A28">
        <v>43834</v>
      </c>
      <c r="B28" t="s">
        <v>27</v>
      </c>
      <c r="C28">
        <f t="shared" si="0"/>
        <v>1273</v>
      </c>
      <c r="D28" t="s">
        <v>86</v>
      </c>
      <c r="E28" t="s">
        <v>48</v>
      </c>
      <c r="F28" t="e" cm="1">
        <f t="array" aca="1" ref="F28" ca="1">IFS(
D28="Andreia Lopes","Serra",
D28="Arlecio Lindemann","Sul",
D28="Dionis Jose","Vale dos Sinos",
D28="Douglas Montagna","Grande POA",
D28="Elisiane Lambrechtt","Grande POA",
D28="Gislaine Muller","Vale dos Sinos",
D28="Henrique Godinho","Grande POA",
D28="Rose - Nelvara","Sul",
D28="Viviane Botelho","Sul",
D28="Ariane Quebao","Grande POA",
D28="Camila Arruda","Sul",
D28="Jairo Costa","Sul",
D28="Moacir Lopes","Grande POA",
D28="Nei Xavier","Grande POA",
D28="Raquel Ricardo","Vale dos Sinos",
D28="Tatiana Lacerda","Serra",
D28="Timoteo Hellwing","Sul",
D28="Volnei Klug","Sul",
D28="Wagner da Silva","Vale dos Sinos",
D28="Marcelo de Souza","Sul",
D28="Fernando Moura","Serra",
D28="Paulo Renato","Litoral",
D28="Vinicios da Luz","Litoral",
D28="Bruno Santos","Litoral",
D28="Mauricio Keenan","Sul",
D28="Cristielen","Litoral",
D28="Juliano Lause","Grande POA",
D28="Thiago Fraga","Vale dos Sinos",
D28="Natalia","Vale dos Sinos",
D28="Guilherme Juhliano","Grande POA",
D28="Timoteo","Sul",
D28="Carlos Alberto","Sul",
D28="Anaina Schmidt","Sul",
D28="Rose - Nelvaira","Sul",
D28="Henrik Von Muhlen","Serra",
TRUE,""
)</f>
        <v>#NAME?</v>
      </c>
      <c r="G28" t="s">
        <v>42</v>
      </c>
      <c r="H28" t="s">
        <v>82</v>
      </c>
      <c r="I28">
        <v>46199</v>
      </c>
      <c r="J28" t="s">
        <v>34</v>
      </c>
    </row>
    <row r="29" spans="1:11" x14ac:dyDescent="0.3">
      <c r="A29">
        <v>41569</v>
      </c>
      <c r="B29" t="s">
        <v>27</v>
      </c>
      <c r="C29">
        <f t="shared" si="0"/>
        <v>1500</v>
      </c>
      <c r="D29" t="s">
        <v>87</v>
      </c>
      <c r="E29" t="s">
        <v>48</v>
      </c>
      <c r="F29" t="e" cm="1">
        <f t="array" aca="1" ref="F29" ca="1">IFS(
D29="Andreia Lopes","Serra",
D29="Arlecio Lindemann","Sul",
D29="Dionis Jose","Vale dos Sinos",
D29="Douglas Montagna","Grande POA",
D29="Elisiane Lambrechtt","Grande POA",
D29="Gislaine Muller","Vale dos Sinos",
D29="Henrique Godinho","Grande POA",
D29="Rose - Nelvara","Sul",
D29="Viviane Botelho","Sul",
D29="Ariane Quebao","Grande POA",
D29="Camila Arruda","Sul",
D29="Jairo Costa","Sul",
D29="Moacir Lopes","Grande POA",
D29="Nei Xavier","Grande POA",
D29="Raquel Ricardo","Vale dos Sinos",
D29="Tatiana Lacerda","Serra",
D29="Timoteo Hellwing","Sul",
D29="Volnei Klug","Sul",
D29="Wagner da Silva","Vale dos Sinos",
D29="Marcelo de Souza","Sul",
D29="Fernando Moura","Serra",
D29="Paulo Renato","Litoral",
D29="Vinicios da Luz","Litoral",
D29="Bruno Santos","Litoral",
D29="Mauricio Keenan","Sul",
D29="Cristielen","Litoral",
D29="Juliano Lause","Grande POA",
D29="Thiago Fraga","Vale dos Sinos",
D29="Natalia","Vale dos Sinos",
D29="Guilherme Juhliano","Grande POA",
D29="Timoteo","Sul",
D29="Carlos Alberto","Sul",
D29="Anaina Schmidt","Sul",
D29="Rose - Nelvaira","Sul",
D29="Henrik Von Muhlen","Serra",
TRUE,""
)</f>
        <v>#NAME?</v>
      </c>
      <c r="G29" t="s">
        <v>52</v>
      </c>
      <c r="H29" t="s">
        <v>82</v>
      </c>
      <c r="I29">
        <v>46199</v>
      </c>
      <c r="J29" t="s">
        <v>34</v>
      </c>
    </row>
    <row r="30" spans="1:11" x14ac:dyDescent="0.3">
      <c r="A30">
        <v>43790</v>
      </c>
      <c r="B30" t="s">
        <v>27</v>
      </c>
      <c r="C30">
        <f t="shared" si="0"/>
        <v>9886</v>
      </c>
      <c r="D30" t="s">
        <v>39</v>
      </c>
      <c r="E30" t="s">
        <v>29</v>
      </c>
      <c r="F30" t="e" cm="1">
        <f t="array" aca="1" ref="F30" ca="1">IFS(
D30="Andreia Lopes","Serra",
D30="Arlecio Lindemann","Sul",
D30="Dionis Jose","Vale dos Sinos",
D30="Douglas Montagna","Grande POA",
D30="Elisiane Lambrechtt","Grande POA",
D30="Gislaine Muller","Vale dos Sinos",
D30="Henrique Godinho","Grande POA",
D30="Rose - Nelvara","Sul",
D30="Viviane Botelho","Sul",
D30="Ariane Quebao","Grande POA",
D30="Camila Arruda","Sul",
D30="Jairo Costa","Sul",
D30="Moacir Lopes","Grande POA",
D30="Nei Xavier","Grande POA",
D30="Raquel Ricardo","Vale dos Sinos",
D30="Tatiana Lacerda","Serra",
D30="Timoteo Hellwing","Sul",
D30="Volnei Klug","Sul",
D30="Wagner da Silva","Vale dos Sinos",
D30="Marcelo de Souza","Sul",
D30="Fernando Moura","Serra",
D30="Paulo Renato","Litoral",
D30="Vinicios da Luz","Litoral",
D30="Bruno Santos","Litoral",
D30="Mauricio Keenan","Sul",
D30="Cristielen","Litoral",
D30="Juliano Lause","Grande POA",
D30="Thiago Fraga","Vale dos Sinos",
D30="Natalia","Vale dos Sinos",
D30="Guilherme Juhliano","Grande POA",
D30="Timoteo","Sul",
D30="Carlos Alberto","Sul",
D30="Anaina Schmidt","Sul",
D30="Rose - Nelvaira","Sul",
D30="Henrik Von Muhlen","Serra",
TRUE,""
)</f>
        <v>#NAME?</v>
      </c>
      <c r="G30" t="s">
        <v>30</v>
      </c>
      <c r="H30" t="s">
        <v>82</v>
      </c>
      <c r="I30">
        <v>46199</v>
      </c>
      <c r="J30" t="s">
        <v>34</v>
      </c>
    </row>
    <row r="31" spans="1:11" x14ac:dyDescent="0.3">
      <c r="A31">
        <v>39712</v>
      </c>
      <c r="B31" t="s">
        <v>27</v>
      </c>
      <c r="C31">
        <f t="shared" si="0"/>
        <v>9872</v>
      </c>
      <c r="D31" t="s">
        <v>61</v>
      </c>
      <c r="E31" t="s">
        <v>48</v>
      </c>
      <c r="F31" t="e" cm="1">
        <f t="array" aca="1" ref="F31" ca="1">IFS(
D31="Andreia Lopes","Serra",
D31="Arlecio Lindemann","Sul",
D31="Dionis Jose","Vale dos Sinos",
D31="Douglas Montagna","Grande POA",
D31="Elisiane Lambrechtt","Grande POA",
D31="Gislaine Muller","Vale dos Sinos",
D31="Henrique Godinho","Grande POA",
D31="Rose - Nelvara","Sul",
D31="Viviane Botelho","Sul",
D31="Ariane Quebao","Grande POA",
D31="Camila Arruda","Sul",
D31="Jairo Costa","Sul",
D31="Moacir Lopes","Grande POA",
D31="Nei Xavier","Grande POA",
D31="Raquel Ricardo","Vale dos Sinos",
D31="Tatiana Lacerda","Serra",
D31="Timoteo Hellwing","Sul",
D31="Volnei Klug","Sul",
D31="Wagner da Silva","Vale dos Sinos",
D31="Marcelo de Souza","Sul",
D31="Fernando Moura","Serra",
D31="Paulo Renato","Litoral",
D31="Vinicios da Luz","Litoral",
D31="Bruno Santos","Litoral",
D31="Mauricio Keenan","Sul",
D31="Cristielen","Litoral",
D31="Juliano Lause","Grande POA",
D31="Thiago Fraga","Vale dos Sinos",
D31="Natalia","Vale dos Sinos",
D31="Guilherme Juhliano","Grande POA",
D31="Timoteo","Sul",
D31="Carlos Alberto","Sul",
D31="Anaina Schmidt","Sul",
D31="Rose - Nelvaira","Sul",
D31="Henrik Von Muhlen","Serra",
TRUE,""
)</f>
        <v>#NAME?</v>
      </c>
      <c r="G31" t="s">
        <v>52</v>
      </c>
      <c r="H31" t="s">
        <v>82</v>
      </c>
      <c r="I31">
        <v>46199</v>
      </c>
      <c r="J31" t="s">
        <v>32</v>
      </c>
      <c r="K31">
        <v>265.36</v>
      </c>
    </row>
    <row r="32" spans="1:11" x14ac:dyDescent="0.3">
      <c r="A32">
        <v>25562</v>
      </c>
      <c r="B32" t="s">
        <v>27</v>
      </c>
      <c r="C32">
        <f t="shared" si="0"/>
        <v>1211</v>
      </c>
      <c r="D32" t="s">
        <v>28</v>
      </c>
      <c r="E32" t="s">
        <v>29</v>
      </c>
      <c r="F32" t="e" cm="1">
        <f t="array" aca="1" ref="F32" ca="1">IFS(
D32="Andreia Lopes","Serra",
D32="Arlecio Lindemann","Sul",
D32="Dionis Jose","Vale dos Sinos",
D32="Douglas Montagna","Grande POA",
D32="Elisiane Lambrechtt","Grande POA",
D32="Gislaine Muller","Vale dos Sinos",
D32="Henrique Godinho","Grande POA",
D32="Rose - Nelvara","Sul",
D32="Viviane Botelho","Sul",
D32="Ariane Quebao","Grande POA",
D32="Camila Arruda","Sul",
D32="Jairo Costa","Sul",
D32="Moacir Lopes","Grande POA",
D32="Nei Xavier","Grande POA",
D32="Raquel Ricardo","Vale dos Sinos",
D32="Tatiana Lacerda","Serra",
D32="Timoteo Hellwing","Sul",
D32="Volnei Klug","Sul",
D32="Wagner da Silva","Vale dos Sinos",
D32="Marcelo de Souza","Sul",
D32="Fernando Moura","Serra",
D32="Paulo Renato","Litoral",
D32="Vinicios da Luz","Litoral",
D32="Bruno Santos","Litoral",
D32="Mauricio Keenan","Sul",
D32="Cristielen","Litoral",
D32="Juliano Lause","Grande POA",
D32="Thiago Fraga","Vale dos Sinos",
D32="Natalia","Vale dos Sinos",
D32="Guilherme Juhliano","Grande POA",
D32="Timoteo","Sul",
D32="Carlos Alberto","Sul",
D32="Anaina Schmidt","Sul",
D32="Rose - Nelvaira","Sul",
D32="Henrik Von Muhlen","Serra",
TRUE,""
)</f>
        <v>#NAME?</v>
      </c>
      <c r="G32" t="s">
        <v>30</v>
      </c>
      <c r="H32" t="s">
        <v>82</v>
      </c>
      <c r="I32">
        <v>46199</v>
      </c>
      <c r="J32" t="s">
        <v>32</v>
      </c>
      <c r="K32">
        <v>516.51</v>
      </c>
    </row>
    <row r="33" spans="1:11" x14ac:dyDescent="0.3">
      <c r="A33">
        <v>43850</v>
      </c>
      <c r="B33" t="s">
        <v>27</v>
      </c>
      <c r="C33">
        <f t="shared" si="0"/>
        <v>1211</v>
      </c>
      <c r="D33" t="s">
        <v>28</v>
      </c>
      <c r="E33" t="s">
        <v>29</v>
      </c>
      <c r="F33" t="e" cm="1">
        <f t="array" aca="1" ref="F33" ca="1">IFS(
D33="Andreia Lopes","Serra",
D33="Arlecio Lindemann","Sul",
D33="Dionis Jose","Vale dos Sinos",
D33="Douglas Montagna","Grande POA",
D33="Elisiane Lambrechtt","Grande POA",
D33="Gislaine Muller","Vale dos Sinos",
D33="Henrique Godinho","Grande POA",
D33="Rose - Nelvara","Sul",
D33="Viviane Botelho","Sul",
D33="Ariane Quebao","Grande POA",
D33="Camila Arruda","Sul",
D33="Jairo Costa","Sul",
D33="Moacir Lopes","Grande POA",
D33="Nei Xavier","Grande POA",
D33="Raquel Ricardo","Vale dos Sinos",
D33="Tatiana Lacerda","Serra",
D33="Timoteo Hellwing","Sul",
D33="Volnei Klug","Sul",
D33="Wagner da Silva","Vale dos Sinos",
D33="Marcelo de Souza","Sul",
D33="Fernando Moura","Serra",
D33="Paulo Renato","Litoral",
D33="Vinicios da Luz","Litoral",
D33="Bruno Santos","Litoral",
D33="Mauricio Keenan","Sul",
D33="Cristielen","Litoral",
D33="Juliano Lause","Grande POA",
D33="Thiago Fraga","Vale dos Sinos",
D33="Natalia","Vale dos Sinos",
D33="Guilherme Juhliano","Grande POA",
D33="Timoteo","Sul",
D33="Carlos Alberto","Sul",
D33="Anaina Schmidt","Sul",
D33="Rose - Nelvaira","Sul",
D33="Henrik Von Muhlen","Serra",
TRUE,""
)</f>
        <v>#NAME?</v>
      </c>
      <c r="G33" t="s">
        <v>30</v>
      </c>
      <c r="H33" t="s">
        <v>82</v>
      </c>
      <c r="I33">
        <v>46199</v>
      </c>
      <c r="J33" t="s">
        <v>34</v>
      </c>
    </row>
    <row r="34" spans="1:11" x14ac:dyDescent="0.3">
      <c r="A34">
        <v>45474</v>
      </c>
      <c r="B34" t="s">
        <v>27</v>
      </c>
      <c r="C34">
        <f t="shared" si="0"/>
        <v>1273</v>
      </c>
      <c r="D34" t="s">
        <v>86</v>
      </c>
      <c r="E34" t="s">
        <v>48</v>
      </c>
      <c r="F34" t="e" cm="1">
        <f t="array" aca="1" ref="F34" ca="1">IFS(
D34="Andreia Lopes","Serra",
D34="Arlecio Lindemann","Sul",
D34="Dionis Jose","Vale dos Sinos",
D34="Douglas Montagna","Grande POA",
D34="Elisiane Lambrechtt","Grande POA",
D34="Gislaine Muller","Vale dos Sinos",
D34="Henrique Godinho","Grande POA",
D34="Rose - Nelvara","Sul",
D34="Viviane Botelho","Sul",
D34="Ariane Quebao","Grande POA",
D34="Camila Arruda","Sul",
D34="Jairo Costa","Sul",
D34="Moacir Lopes","Grande POA",
D34="Nei Xavier","Grande POA",
D34="Raquel Ricardo","Vale dos Sinos",
D34="Tatiana Lacerda","Serra",
D34="Timoteo Hellwing","Sul",
D34="Volnei Klug","Sul",
D34="Wagner da Silva","Vale dos Sinos",
D34="Marcelo de Souza","Sul",
D34="Fernando Moura","Serra",
D34="Paulo Renato","Litoral",
D34="Vinicios da Luz","Litoral",
D34="Bruno Santos","Litoral",
D34="Mauricio Keenan","Sul",
D34="Cristielen","Litoral",
D34="Juliano Lause","Grande POA",
D34="Thiago Fraga","Vale dos Sinos",
D34="Natalia","Vale dos Sinos",
D34="Guilherme Juhliano","Grande POA",
D34="Timoteo","Sul",
D34="Carlos Alberto","Sul",
D34="Anaina Schmidt","Sul",
D34="Rose - Nelvaira","Sul",
D34="Henrik Von Muhlen","Serra",
TRUE,""
)</f>
        <v>#NAME?</v>
      </c>
      <c r="G34" t="s">
        <v>42</v>
      </c>
      <c r="H34" t="s">
        <v>82</v>
      </c>
      <c r="I34">
        <v>46199</v>
      </c>
      <c r="J34" t="s">
        <v>32</v>
      </c>
      <c r="K34">
        <v>358.93</v>
      </c>
    </row>
    <row r="35" spans="1:11" x14ac:dyDescent="0.3">
      <c r="A35">
        <v>41788</v>
      </c>
      <c r="B35" t="s">
        <v>27</v>
      </c>
      <c r="C35">
        <f t="shared" si="0"/>
        <v>1211</v>
      </c>
      <c r="D35" t="s">
        <v>28</v>
      </c>
      <c r="E35" t="s">
        <v>29</v>
      </c>
      <c r="F35" t="e" cm="1">
        <f t="array" aca="1" ref="F35" ca="1">IFS(
D35="Andreia Lopes","Serra",
D35="Arlecio Lindemann","Sul",
D35="Dionis Jose","Vale dos Sinos",
D35="Douglas Montagna","Grande POA",
D35="Elisiane Lambrechtt","Grande POA",
D35="Gislaine Muller","Vale dos Sinos",
D35="Henrique Godinho","Grande POA",
D35="Rose - Nelvara","Sul",
D35="Viviane Botelho","Sul",
D35="Ariane Quebao","Grande POA",
D35="Camila Arruda","Sul",
D35="Jairo Costa","Sul",
D35="Moacir Lopes","Grande POA",
D35="Nei Xavier","Grande POA",
D35="Raquel Ricardo","Vale dos Sinos",
D35="Tatiana Lacerda","Serra",
D35="Timoteo Hellwing","Sul",
D35="Volnei Klug","Sul",
D35="Wagner da Silva","Vale dos Sinos",
D35="Marcelo de Souza","Sul",
D35="Fernando Moura","Serra",
D35="Paulo Renato","Litoral",
D35="Vinicios da Luz","Litoral",
D35="Bruno Santos","Litoral",
D35="Mauricio Keenan","Sul",
D35="Cristielen","Litoral",
D35="Juliano Lause","Grande POA",
D35="Thiago Fraga","Vale dos Sinos",
D35="Natalia","Vale dos Sinos",
D35="Guilherme Juhliano","Grande POA",
D35="Timoteo","Sul",
D35="Carlos Alberto","Sul",
D35="Anaina Schmidt","Sul",
D35="Rose - Nelvaira","Sul",
D35="Henrik Von Muhlen","Serra",
TRUE,""
)</f>
        <v>#NAME?</v>
      </c>
      <c r="G35" t="s">
        <v>30</v>
      </c>
      <c r="H35" t="s">
        <v>82</v>
      </c>
      <c r="I35">
        <v>46199</v>
      </c>
      <c r="J35" t="s">
        <v>34</v>
      </c>
    </row>
    <row r="36" spans="1:11" x14ac:dyDescent="0.3">
      <c r="A36">
        <v>25029</v>
      </c>
      <c r="B36" t="s">
        <v>27</v>
      </c>
      <c r="C36">
        <f t="shared" si="0"/>
        <v>9863</v>
      </c>
      <c r="D36" t="s">
        <v>60</v>
      </c>
      <c r="E36" t="s">
        <v>48</v>
      </c>
      <c r="F36" t="e" cm="1">
        <f t="array" aca="1" ref="F36" ca="1">IFS(
D36="Andreia Lopes","Serra",
D36="Arlecio Lindemann","Sul",
D36="Dionis Jose","Vale dos Sinos",
D36="Douglas Montagna","Grande POA",
D36="Elisiane Lambrechtt","Grande POA",
D36="Gislaine Muller","Vale dos Sinos",
D36="Henrique Godinho","Grande POA",
D36="Rose - Nelvara","Sul",
D36="Viviane Botelho","Sul",
D36="Ariane Quebao","Grande POA",
D36="Camila Arruda","Sul",
D36="Jairo Costa","Sul",
D36="Moacir Lopes","Grande POA",
D36="Nei Xavier","Grande POA",
D36="Raquel Ricardo","Vale dos Sinos",
D36="Tatiana Lacerda","Serra",
D36="Timoteo Hellwing","Sul",
D36="Volnei Klug","Sul",
D36="Wagner da Silva","Vale dos Sinos",
D36="Marcelo de Souza","Sul",
D36="Fernando Moura","Serra",
D36="Paulo Renato","Litoral",
D36="Vinicios da Luz","Litoral",
D36="Bruno Santos","Litoral",
D36="Mauricio Keenan","Sul",
D36="Cristielen","Litoral",
D36="Juliano Lause","Grande POA",
D36="Thiago Fraga","Vale dos Sinos",
D36="Natalia","Vale dos Sinos",
D36="Guilherme Juhliano","Grande POA",
D36="Timoteo","Sul",
D36="Carlos Alberto","Sul",
D36="Anaina Schmidt","Sul",
D36="Rose - Nelvaira","Sul",
D36="Henrik Von Muhlen","Serra",
TRUE,""
)</f>
        <v>#NAME?</v>
      </c>
      <c r="G36" t="s">
        <v>52</v>
      </c>
      <c r="H36" t="s">
        <v>82</v>
      </c>
      <c r="I36">
        <v>46199</v>
      </c>
      <c r="J36" t="s">
        <v>32</v>
      </c>
      <c r="K36">
        <v>407.43</v>
      </c>
    </row>
    <row r="37" spans="1:11" x14ac:dyDescent="0.3">
      <c r="A37">
        <v>44812</v>
      </c>
      <c r="B37" t="s">
        <v>27</v>
      </c>
      <c r="C37">
        <f t="shared" si="0"/>
        <v>1623</v>
      </c>
      <c r="D37" t="s">
        <v>81</v>
      </c>
      <c r="E37" t="s">
        <v>48</v>
      </c>
      <c r="F37" t="e" cm="1">
        <f t="array" aca="1" ref="F37" ca="1">IFS(
D37="Andreia Lopes","Serra",
D37="Arlecio Lindemann","Sul",
D37="Dionis Jose","Vale dos Sinos",
D37="Douglas Montagna","Grande POA",
D37="Elisiane Lambrechtt","Grande POA",
D37="Gislaine Muller","Vale dos Sinos",
D37="Henrique Godinho","Grande POA",
D37="Rose - Nelvara","Sul",
D37="Viviane Botelho","Sul",
D37="Ariane Quebao","Grande POA",
D37="Camila Arruda","Sul",
D37="Jairo Costa","Sul",
D37="Moacir Lopes","Grande POA",
D37="Nei Xavier","Grande POA",
D37="Raquel Ricardo","Vale dos Sinos",
D37="Tatiana Lacerda","Serra",
D37="Timoteo Hellwing","Sul",
D37="Volnei Klug","Sul",
D37="Wagner da Silva","Vale dos Sinos",
D37="Marcelo de Souza","Sul",
D37="Fernando Moura","Serra",
D37="Paulo Renato","Litoral",
D37="Vinicios da Luz","Litoral",
D37="Bruno Santos","Litoral",
D37="Mauricio Keenan","Sul",
D37="Cristielen","Litoral",
D37="Juliano Lause","Grande POA",
D37="Thiago Fraga","Vale dos Sinos",
D37="Natalia","Vale dos Sinos",
D37="Guilherme Juhliano","Grande POA",
D37="Timoteo","Sul",
D37="Carlos Alberto","Sul",
D37="Anaina Schmidt","Sul",
D37="Rose - Nelvaira","Sul",
D37="Henrik Von Muhlen","Serra",
TRUE,""
)</f>
        <v>#NAME?</v>
      </c>
      <c r="G37" t="s">
        <v>54</v>
      </c>
      <c r="H37" t="s">
        <v>82</v>
      </c>
      <c r="I37">
        <v>46199</v>
      </c>
      <c r="J37" t="s">
        <v>34</v>
      </c>
    </row>
    <row r="38" spans="1:11" x14ac:dyDescent="0.3">
      <c r="A38">
        <v>44986</v>
      </c>
      <c r="B38" t="s">
        <v>27</v>
      </c>
      <c r="C38">
        <f t="shared" si="0"/>
        <v>1544</v>
      </c>
      <c r="D38" t="s">
        <v>88</v>
      </c>
      <c r="E38" t="s">
        <v>48</v>
      </c>
      <c r="F38" t="e" cm="1">
        <f t="array" aca="1" ref="F38" ca="1">IFS(
D38="Andreia Lopes","Serra",
D38="Arlecio Lindemann","Sul",
D38="Dionis Jose","Vale dos Sinos",
D38="Douglas Montagna","Grande POA",
D38="Elisiane Lambrechtt","Grande POA",
D38="Gislaine Muller","Vale dos Sinos",
D38="Henrique Godinho","Grande POA",
D38="Rose - Nelvara","Sul",
D38="Viviane Botelho","Sul",
D38="Ariane Quebao","Grande POA",
D38="Camila Arruda","Sul",
D38="Jairo Costa","Sul",
D38="Moacir Lopes","Grande POA",
D38="Nei Xavier","Grande POA",
D38="Raquel Ricardo","Vale dos Sinos",
D38="Tatiana Lacerda","Serra",
D38="Timoteo Hellwing","Sul",
D38="Volnei Klug","Sul",
D38="Wagner da Silva","Vale dos Sinos",
D38="Marcelo de Souza","Sul",
D38="Fernando Moura","Serra",
D38="Paulo Renato","Litoral",
D38="Vinicios da Luz","Litoral",
D38="Bruno Santos","Litoral",
D38="Mauricio Keenan","Sul",
D38="Cristielen","Litoral",
D38="Juliano Lause","Grande POA",
D38="Thiago Fraga","Vale dos Sinos",
D38="Natalia","Vale dos Sinos",
D38="Guilherme Juhliano","Grande POA",
D38="Timoteo","Sul",
D38="Carlos Alberto","Sul",
D38="Anaina Schmidt","Sul",
D38="Rose - Nelvaira","Sul",
D38="Henrik Von Muhlen","Serra",
TRUE,""
)</f>
        <v>#NAME?</v>
      </c>
      <c r="G38" t="s">
        <v>56</v>
      </c>
      <c r="H38" t="s">
        <v>82</v>
      </c>
      <c r="I38">
        <v>46199</v>
      </c>
      <c r="J38" t="s">
        <v>34</v>
      </c>
    </row>
    <row r="39" spans="1:11" x14ac:dyDescent="0.3">
      <c r="A39">
        <v>34654</v>
      </c>
      <c r="B39" t="s">
        <v>27</v>
      </c>
      <c r="C39">
        <f t="shared" si="0"/>
        <v>9911</v>
      </c>
      <c r="D39" t="s">
        <v>65</v>
      </c>
      <c r="E39" t="s">
        <v>48</v>
      </c>
      <c r="F39" t="e" cm="1">
        <f t="array" aca="1" ref="F39" ca="1">IFS(
D39="Andreia Lopes","Serra",
D39="Arlecio Lindemann","Sul",
D39="Dionis Jose","Vale dos Sinos",
D39="Douglas Montagna","Grande POA",
D39="Elisiane Lambrechtt","Grande POA",
D39="Gislaine Muller","Vale dos Sinos",
D39="Henrique Godinho","Grande POA",
D39="Rose - Nelvara","Sul",
D39="Viviane Botelho","Sul",
D39="Ariane Quebao","Grande POA",
D39="Camila Arruda","Sul",
D39="Jairo Costa","Sul",
D39="Moacir Lopes","Grande POA",
D39="Nei Xavier","Grande POA",
D39="Raquel Ricardo","Vale dos Sinos",
D39="Tatiana Lacerda","Serra",
D39="Timoteo Hellwing","Sul",
D39="Volnei Klug","Sul",
D39="Wagner da Silva","Vale dos Sinos",
D39="Marcelo de Souza","Sul",
D39="Fernando Moura","Serra",
D39="Paulo Renato","Litoral",
D39="Vinicios da Luz","Litoral",
D39="Bruno Santos","Litoral",
D39="Mauricio Keenan","Sul",
D39="Cristielen","Litoral",
D39="Juliano Lause","Grande POA",
D39="Thiago Fraga","Vale dos Sinos",
D39="Natalia","Vale dos Sinos",
D39="Guilherme Juhliano","Grande POA",
D39="Timoteo","Sul",
D39="Carlos Alberto","Sul",
D39="Anaina Schmidt","Sul",
D39="Rose - Nelvaira","Sul",
D39="Henrik Von Muhlen","Serra",
TRUE,""
)</f>
        <v>#NAME?</v>
      </c>
      <c r="G39" t="s">
        <v>52</v>
      </c>
      <c r="H39" t="s">
        <v>82</v>
      </c>
      <c r="I39">
        <v>46200</v>
      </c>
      <c r="J39" t="s">
        <v>34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39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7"/>
  <sheetViews>
    <sheetView workbookViewId="0">
      <selection sqref="A1:R1"/>
    </sheetView>
  </sheetViews>
  <sheetFormatPr defaultRowHeight="15.6" x14ac:dyDescent="0.3"/>
  <sheetData>
    <row r="1" spans="1:18" x14ac:dyDescent="0.3">
      <c r="A1" s="1" t="s">
        <v>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90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91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92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1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6"/>
  <sheetViews>
    <sheetView workbookViewId="0">
      <selection sqref="A1:R1"/>
    </sheetView>
  </sheetViews>
  <sheetFormatPr defaultRowHeight="15.6" x14ac:dyDescent="0.3"/>
  <sheetData>
    <row r="1" spans="1:18" x14ac:dyDescent="0.3">
      <c r="A1" s="1" t="s">
        <v>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94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95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96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x14ac:dyDescent="0.3">
      <c r="A18">
        <v>43879</v>
      </c>
      <c r="B18" t="s">
        <v>27</v>
      </c>
      <c r="C18">
        <f t="shared" ref="C18:C26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1429</v>
      </c>
      <c r="D18" t="s">
        <v>78</v>
      </c>
      <c r="E18" t="s">
        <v>29</v>
      </c>
      <c r="F18" t="e" cm="1">
        <f t="array" aca="1" ref="F18" ca="1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#NAME?</v>
      </c>
      <c r="G18" t="s">
        <v>30</v>
      </c>
      <c r="H18" t="s">
        <v>97</v>
      </c>
      <c r="I18">
        <v>46203</v>
      </c>
      <c r="J18" t="s">
        <v>34</v>
      </c>
    </row>
    <row r="19" spans="1:11" x14ac:dyDescent="0.3">
      <c r="A19">
        <v>28472</v>
      </c>
      <c r="B19" t="s">
        <v>27</v>
      </c>
      <c r="C19">
        <f t="shared" si="0"/>
        <v>9886</v>
      </c>
      <c r="D19" t="s">
        <v>39</v>
      </c>
      <c r="E19" t="s">
        <v>29</v>
      </c>
      <c r="F19" t="e" cm="1">
        <f t="array" aca="1" ref="F19" ca="1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#NAME?</v>
      </c>
      <c r="G19" t="s">
        <v>30</v>
      </c>
      <c r="H19" t="s">
        <v>97</v>
      </c>
      <c r="I19">
        <v>46203</v>
      </c>
      <c r="J19" t="s">
        <v>34</v>
      </c>
    </row>
    <row r="20" spans="1:11" x14ac:dyDescent="0.3">
      <c r="A20">
        <v>44422</v>
      </c>
      <c r="B20" t="s">
        <v>27</v>
      </c>
      <c r="C20">
        <f t="shared" si="0"/>
        <v>9886</v>
      </c>
      <c r="D20" t="s">
        <v>39</v>
      </c>
      <c r="E20" t="s">
        <v>29</v>
      </c>
      <c r="F20" t="e" cm="1">
        <f t="array" aca="1" ref="F20" ca="1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#NAME?</v>
      </c>
      <c r="G20" t="s">
        <v>30</v>
      </c>
      <c r="H20" t="s">
        <v>97</v>
      </c>
      <c r="I20">
        <v>46203</v>
      </c>
      <c r="J20" t="s">
        <v>34</v>
      </c>
    </row>
    <row r="21" spans="1:11" x14ac:dyDescent="0.3">
      <c r="A21">
        <v>33900</v>
      </c>
      <c r="B21" t="s">
        <v>27</v>
      </c>
      <c r="C21">
        <f t="shared" si="0"/>
        <v>1464</v>
      </c>
      <c r="D21" t="s">
        <v>64</v>
      </c>
      <c r="E21" t="s">
        <v>29</v>
      </c>
      <c r="F21" t="e" cm="1">
        <f t="array" aca="1" ref="F21" ca="1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#NAME?</v>
      </c>
      <c r="G21" t="s">
        <v>30</v>
      </c>
      <c r="H21" t="s">
        <v>97</v>
      </c>
      <c r="I21">
        <v>46203</v>
      </c>
      <c r="J21" t="s">
        <v>34</v>
      </c>
    </row>
    <row r="22" spans="1:11" x14ac:dyDescent="0.3">
      <c r="A22">
        <v>41840</v>
      </c>
      <c r="B22" t="s">
        <v>27</v>
      </c>
      <c r="C22">
        <f t="shared" si="0"/>
        <v>1464</v>
      </c>
      <c r="D22" t="s">
        <v>64</v>
      </c>
      <c r="E22" t="s">
        <v>29</v>
      </c>
      <c r="F22" t="e" cm="1">
        <f t="array" aca="1" ref="F22" ca="1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#NAME?</v>
      </c>
      <c r="G22" t="s">
        <v>30</v>
      </c>
      <c r="H22" t="s">
        <v>97</v>
      </c>
      <c r="I22">
        <v>46203</v>
      </c>
      <c r="J22" t="s">
        <v>34</v>
      </c>
    </row>
    <row r="23" spans="1:11" x14ac:dyDescent="0.3">
      <c r="A23">
        <v>40431</v>
      </c>
      <c r="B23" t="s">
        <v>27</v>
      </c>
      <c r="C23">
        <f t="shared" si="0"/>
        <v>1596</v>
      </c>
      <c r="D23" t="s">
        <v>62</v>
      </c>
      <c r="E23" t="s">
        <v>29</v>
      </c>
      <c r="F23" t="e" cm="1">
        <f t="array" aca="1" ref="F23" ca="1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#NAME?</v>
      </c>
      <c r="G23" t="s">
        <v>30</v>
      </c>
      <c r="H23" t="s">
        <v>97</v>
      </c>
      <c r="I23">
        <v>46203</v>
      </c>
      <c r="J23" t="s">
        <v>34</v>
      </c>
    </row>
    <row r="24" spans="1:11" x14ac:dyDescent="0.3">
      <c r="A24">
        <v>41521</v>
      </c>
      <c r="B24" t="s">
        <v>27</v>
      </c>
      <c r="C24">
        <f t="shared" si="0"/>
        <v>1596</v>
      </c>
      <c r="D24" t="s">
        <v>62</v>
      </c>
      <c r="E24" t="s">
        <v>29</v>
      </c>
      <c r="F24" t="e" cm="1">
        <f t="array" aca="1" ref="F24" ca="1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#NAME?</v>
      </c>
      <c r="G24" t="s">
        <v>30</v>
      </c>
      <c r="H24" t="s">
        <v>97</v>
      </c>
      <c r="I24">
        <v>46203</v>
      </c>
      <c r="J24" t="s">
        <v>34</v>
      </c>
    </row>
    <row r="25" spans="1:11" x14ac:dyDescent="0.3">
      <c r="A25">
        <v>40182</v>
      </c>
      <c r="B25" t="s">
        <v>27</v>
      </c>
      <c r="C25">
        <f t="shared" si="0"/>
        <v>1596</v>
      </c>
      <c r="D25" t="s">
        <v>62</v>
      </c>
      <c r="E25" t="s">
        <v>29</v>
      </c>
      <c r="F25" t="e" cm="1">
        <f t="array" aca="1" ref="F25" ca="1">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#NAME?</v>
      </c>
      <c r="G25" t="s">
        <v>30</v>
      </c>
      <c r="H25" t="s">
        <v>97</v>
      </c>
      <c r="I25">
        <v>46203</v>
      </c>
      <c r="J25" t="s">
        <v>34</v>
      </c>
    </row>
    <row r="26" spans="1:11" x14ac:dyDescent="0.3">
      <c r="A26">
        <v>41258</v>
      </c>
      <c r="B26" t="s">
        <v>27</v>
      </c>
      <c r="C26">
        <f t="shared" si="0"/>
        <v>1596</v>
      </c>
      <c r="D26" t="s">
        <v>62</v>
      </c>
      <c r="E26" t="s">
        <v>29</v>
      </c>
      <c r="F26" t="e" cm="1">
        <f t="array" aca="1" ref="F26" ca="1">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#NAME?</v>
      </c>
      <c r="G26" t="s">
        <v>30</v>
      </c>
      <c r="H26" t="s">
        <v>97</v>
      </c>
      <c r="I26">
        <v>46203</v>
      </c>
      <c r="J26" t="s">
        <v>34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26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8"/>
  <sheetViews>
    <sheetView workbookViewId="0">
      <selection sqref="A1:R1"/>
    </sheetView>
  </sheetViews>
  <sheetFormatPr defaultRowHeight="15.6" x14ac:dyDescent="0.3"/>
  <sheetData>
    <row r="1" spans="1:18" x14ac:dyDescent="0.3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99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100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101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x14ac:dyDescent="0.3">
      <c r="A18">
        <v>44481</v>
      </c>
      <c r="B18" t="s">
        <v>27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1623</v>
      </c>
      <c r="D18" t="s">
        <v>81</v>
      </c>
      <c r="E18" t="s">
        <v>48</v>
      </c>
      <c r="F18" t="e" cm="1">
        <f t="array" aca="1" ref="F18" ca="1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#NAME?</v>
      </c>
      <c r="G18" t="s">
        <v>54</v>
      </c>
      <c r="H18" t="s">
        <v>82</v>
      </c>
      <c r="I18">
        <v>46203</v>
      </c>
      <c r="J18" t="s">
        <v>34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18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50"/>
  <sheetViews>
    <sheetView topLeftCell="A6" workbookViewId="0">
      <selection sqref="A1:R1"/>
    </sheetView>
  </sheetViews>
  <sheetFormatPr defaultRowHeight="15.6" x14ac:dyDescent="0.3"/>
  <sheetData>
    <row r="1" spans="1:18" x14ac:dyDescent="0.3">
      <c r="A1" s="1" t="s">
        <v>102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103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95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104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x14ac:dyDescent="0.3">
      <c r="A18">
        <v>33381</v>
      </c>
      <c r="B18" t="s">
        <v>27</v>
      </c>
      <c r="C18">
        <f t="shared" ref="C18:C50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1604</v>
      </c>
      <c r="D18" t="s">
        <v>105</v>
      </c>
      <c r="E18" t="s">
        <v>48</v>
      </c>
      <c r="F18" t="s">
        <v>106</v>
      </c>
      <c r="G18" t="s">
        <v>54</v>
      </c>
      <c r="H18" t="s">
        <v>82</v>
      </c>
      <c r="I18">
        <v>46204</v>
      </c>
      <c r="J18" t="s">
        <v>34</v>
      </c>
    </row>
    <row r="19" spans="1:11" x14ac:dyDescent="0.3">
      <c r="A19">
        <v>24281</v>
      </c>
      <c r="B19" t="s">
        <v>27</v>
      </c>
      <c r="C19">
        <f t="shared" si="0"/>
        <v>9886</v>
      </c>
      <c r="D19" t="s">
        <v>39</v>
      </c>
      <c r="E19" t="s">
        <v>29</v>
      </c>
      <c r="F19" t="s">
        <v>107</v>
      </c>
      <c r="G19" t="s">
        <v>30</v>
      </c>
      <c r="H19" t="s">
        <v>108</v>
      </c>
      <c r="I19">
        <v>46204</v>
      </c>
      <c r="J19" t="s">
        <v>34</v>
      </c>
    </row>
    <row r="20" spans="1:11" x14ac:dyDescent="0.3">
      <c r="A20">
        <v>36790</v>
      </c>
      <c r="B20" t="s">
        <v>27</v>
      </c>
      <c r="C20">
        <f t="shared" si="0"/>
        <v>1429</v>
      </c>
      <c r="D20" t="s">
        <v>78</v>
      </c>
      <c r="E20" t="s">
        <v>29</v>
      </c>
      <c r="F20" t="s">
        <v>106</v>
      </c>
      <c r="G20" t="s">
        <v>30</v>
      </c>
      <c r="H20" t="s">
        <v>108</v>
      </c>
      <c r="I20">
        <v>46204</v>
      </c>
      <c r="J20" t="s">
        <v>34</v>
      </c>
    </row>
    <row r="21" spans="1:11" x14ac:dyDescent="0.3">
      <c r="A21">
        <v>26799</v>
      </c>
      <c r="B21" t="s">
        <v>27</v>
      </c>
      <c r="C21">
        <f t="shared" si="0"/>
        <v>1429</v>
      </c>
      <c r="D21" t="s">
        <v>78</v>
      </c>
      <c r="E21" t="s">
        <v>29</v>
      </c>
      <c r="F21" t="s">
        <v>106</v>
      </c>
      <c r="G21" t="s">
        <v>30</v>
      </c>
      <c r="H21" t="s">
        <v>108</v>
      </c>
      <c r="I21">
        <v>46204</v>
      </c>
      <c r="J21" t="s">
        <v>34</v>
      </c>
    </row>
    <row r="22" spans="1:11" x14ac:dyDescent="0.3">
      <c r="A22">
        <v>42716</v>
      </c>
      <c r="B22" t="s">
        <v>27</v>
      </c>
      <c r="C22">
        <f t="shared" si="0"/>
        <v>1429</v>
      </c>
      <c r="D22" t="s">
        <v>78</v>
      </c>
      <c r="E22" t="s">
        <v>29</v>
      </c>
      <c r="F22" t="s">
        <v>106</v>
      </c>
      <c r="G22" t="s">
        <v>30</v>
      </c>
      <c r="H22" t="s">
        <v>108</v>
      </c>
      <c r="I22">
        <v>46204</v>
      </c>
      <c r="J22" t="s">
        <v>34</v>
      </c>
    </row>
    <row r="23" spans="1:11" x14ac:dyDescent="0.3">
      <c r="A23">
        <v>34203</v>
      </c>
      <c r="B23" t="s">
        <v>27</v>
      </c>
      <c r="C23">
        <f t="shared" si="0"/>
        <v>1429</v>
      </c>
      <c r="D23" t="s">
        <v>78</v>
      </c>
      <c r="E23" t="s">
        <v>29</v>
      </c>
      <c r="F23" t="s">
        <v>106</v>
      </c>
      <c r="G23" t="s">
        <v>30</v>
      </c>
      <c r="H23" t="s">
        <v>108</v>
      </c>
      <c r="I23">
        <v>46204</v>
      </c>
      <c r="J23" t="s">
        <v>34</v>
      </c>
    </row>
    <row r="24" spans="1:11" x14ac:dyDescent="0.3">
      <c r="A24">
        <v>36424</v>
      </c>
      <c r="B24" t="s">
        <v>27</v>
      </c>
      <c r="C24">
        <f t="shared" si="0"/>
        <v>1429</v>
      </c>
      <c r="D24" t="s">
        <v>78</v>
      </c>
      <c r="E24" t="s">
        <v>29</v>
      </c>
      <c r="F24" t="s">
        <v>106</v>
      </c>
      <c r="G24" t="s">
        <v>30</v>
      </c>
      <c r="H24" t="s">
        <v>108</v>
      </c>
      <c r="I24">
        <v>46204</v>
      </c>
      <c r="J24" t="s">
        <v>34</v>
      </c>
    </row>
    <row r="25" spans="1:11" x14ac:dyDescent="0.3">
      <c r="A25">
        <v>40575</v>
      </c>
      <c r="B25" t="s">
        <v>27</v>
      </c>
      <c r="C25">
        <f t="shared" si="0"/>
        <v>1211</v>
      </c>
      <c r="D25" t="s">
        <v>28</v>
      </c>
      <c r="E25" t="s">
        <v>29</v>
      </c>
      <c r="F25" t="s">
        <v>109</v>
      </c>
      <c r="G25" t="s">
        <v>30</v>
      </c>
      <c r="H25" t="s">
        <v>108</v>
      </c>
      <c r="I25">
        <v>46204</v>
      </c>
      <c r="J25" t="s">
        <v>34</v>
      </c>
    </row>
    <row r="26" spans="1:11" x14ac:dyDescent="0.3">
      <c r="A26">
        <v>34855</v>
      </c>
      <c r="B26" t="s">
        <v>27</v>
      </c>
      <c r="C26">
        <f t="shared" si="0"/>
        <v>1211</v>
      </c>
      <c r="D26" t="s">
        <v>28</v>
      </c>
      <c r="E26" t="s">
        <v>29</v>
      </c>
      <c r="F26" t="s">
        <v>109</v>
      </c>
      <c r="G26" t="s">
        <v>30</v>
      </c>
      <c r="H26" t="s">
        <v>108</v>
      </c>
      <c r="I26">
        <v>46204</v>
      </c>
      <c r="J26" t="s">
        <v>34</v>
      </c>
    </row>
    <row r="27" spans="1:11" x14ac:dyDescent="0.3">
      <c r="A27">
        <v>43063</v>
      </c>
      <c r="B27" t="s">
        <v>27</v>
      </c>
      <c r="C27">
        <f t="shared" si="0"/>
        <v>1211</v>
      </c>
      <c r="D27" t="s">
        <v>28</v>
      </c>
      <c r="E27" t="s">
        <v>29</v>
      </c>
      <c r="F27" t="s">
        <v>109</v>
      </c>
      <c r="G27" t="s">
        <v>30</v>
      </c>
      <c r="H27" t="s">
        <v>108</v>
      </c>
      <c r="I27">
        <v>46204</v>
      </c>
      <c r="J27" t="s">
        <v>34</v>
      </c>
    </row>
    <row r="28" spans="1:11" x14ac:dyDescent="0.3">
      <c r="A28">
        <v>28038</v>
      </c>
      <c r="B28" t="s">
        <v>27</v>
      </c>
      <c r="C28">
        <f t="shared" si="0"/>
        <v>1211</v>
      </c>
      <c r="D28" t="s">
        <v>28</v>
      </c>
      <c r="E28" t="s">
        <v>29</v>
      </c>
      <c r="F28" t="s">
        <v>109</v>
      </c>
      <c r="G28" t="s">
        <v>30</v>
      </c>
      <c r="H28" t="s">
        <v>108</v>
      </c>
      <c r="I28">
        <v>46204</v>
      </c>
      <c r="J28" t="s">
        <v>34</v>
      </c>
    </row>
    <row r="29" spans="1:11" x14ac:dyDescent="0.3">
      <c r="A29">
        <v>13077</v>
      </c>
      <c r="B29" t="s">
        <v>27</v>
      </c>
      <c r="C29">
        <f t="shared" si="0"/>
        <v>1464</v>
      </c>
      <c r="D29" t="s">
        <v>64</v>
      </c>
      <c r="E29" t="s">
        <v>29</v>
      </c>
      <c r="F29" t="s">
        <v>110</v>
      </c>
      <c r="G29" t="s">
        <v>30</v>
      </c>
      <c r="H29" t="s">
        <v>108</v>
      </c>
      <c r="I29">
        <v>46204</v>
      </c>
      <c r="J29" t="s">
        <v>34</v>
      </c>
    </row>
    <row r="30" spans="1:11" x14ac:dyDescent="0.3">
      <c r="A30">
        <v>42492</v>
      </c>
      <c r="B30" t="s">
        <v>27</v>
      </c>
      <c r="C30">
        <f t="shared" si="0"/>
        <v>1464</v>
      </c>
      <c r="D30" t="s">
        <v>64</v>
      </c>
      <c r="E30" t="s">
        <v>29</v>
      </c>
      <c r="F30" t="s">
        <v>110</v>
      </c>
      <c r="G30" t="s">
        <v>30</v>
      </c>
      <c r="H30" t="s">
        <v>108</v>
      </c>
      <c r="I30">
        <v>46204</v>
      </c>
      <c r="J30" t="s">
        <v>34</v>
      </c>
    </row>
    <row r="31" spans="1:11" x14ac:dyDescent="0.3">
      <c r="A31">
        <v>22385</v>
      </c>
      <c r="B31" t="s">
        <v>27</v>
      </c>
      <c r="C31">
        <f t="shared" si="0"/>
        <v>1464</v>
      </c>
      <c r="D31" t="s">
        <v>64</v>
      </c>
      <c r="E31" t="s">
        <v>29</v>
      </c>
      <c r="F31" t="s">
        <v>110</v>
      </c>
      <c r="G31" t="s">
        <v>30</v>
      </c>
      <c r="H31" t="s">
        <v>108</v>
      </c>
      <c r="I31">
        <v>46204</v>
      </c>
      <c r="J31" t="s">
        <v>34</v>
      </c>
    </row>
    <row r="32" spans="1:11" x14ac:dyDescent="0.3">
      <c r="A32">
        <v>40474</v>
      </c>
      <c r="B32" t="s">
        <v>27</v>
      </c>
      <c r="C32">
        <f t="shared" si="0"/>
        <v>1464</v>
      </c>
      <c r="D32" t="s">
        <v>64</v>
      </c>
      <c r="E32" t="s">
        <v>29</v>
      </c>
      <c r="F32" t="s">
        <v>110</v>
      </c>
      <c r="G32" t="s">
        <v>30</v>
      </c>
      <c r="H32" t="s">
        <v>108</v>
      </c>
      <c r="I32">
        <v>46204</v>
      </c>
      <c r="J32" t="s">
        <v>34</v>
      </c>
    </row>
    <row r="33" spans="1:10" x14ac:dyDescent="0.3">
      <c r="A33">
        <v>39612</v>
      </c>
      <c r="B33" t="s">
        <v>27</v>
      </c>
      <c r="C33">
        <f t="shared" si="0"/>
        <v>1464</v>
      </c>
      <c r="D33" t="s">
        <v>64</v>
      </c>
      <c r="E33" t="s">
        <v>29</v>
      </c>
      <c r="F33" t="s">
        <v>110</v>
      </c>
      <c r="G33" t="s">
        <v>30</v>
      </c>
      <c r="H33" t="s">
        <v>108</v>
      </c>
      <c r="I33">
        <v>46204</v>
      </c>
      <c r="J33" t="s">
        <v>34</v>
      </c>
    </row>
    <row r="34" spans="1:10" x14ac:dyDescent="0.3">
      <c r="A34">
        <v>38087</v>
      </c>
      <c r="B34" t="s">
        <v>27</v>
      </c>
      <c r="C34">
        <f t="shared" si="0"/>
        <v>1464</v>
      </c>
      <c r="D34" t="s">
        <v>64</v>
      </c>
      <c r="E34" t="s">
        <v>29</v>
      </c>
      <c r="F34" t="s">
        <v>110</v>
      </c>
      <c r="G34" t="s">
        <v>30</v>
      </c>
      <c r="H34" t="s">
        <v>108</v>
      </c>
      <c r="I34">
        <v>46204</v>
      </c>
      <c r="J34" t="s">
        <v>34</v>
      </c>
    </row>
    <row r="35" spans="1:10" x14ac:dyDescent="0.3">
      <c r="A35">
        <v>41577</v>
      </c>
      <c r="B35" t="s">
        <v>27</v>
      </c>
      <c r="C35">
        <f t="shared" si="0"/>
        <v>1464</v>
      </c>
      <c r="D35" t="s">
        <v>64</v>
      </c>
      <c r="E35" t="s">
        <v>29</v>
      </c>
      <c r="F35" t="s">
        <v>110</v>
      </c>
      <c r="G35" t="s">
        <v>30</v>
      </c>
      <c r="H35" t="s">
        <v>108</v>
      </c>
      <c r="I35">
        <v>46204</v>
      </c>
      <c r="J35" t="s">
        <v>34</v>
      </c>
    </row>
    <row r="36" spans="1:10" x14ac:dyDescent="0.3">
      <c r="A36">
        <v>41527</v>
      </c>
      <c r="B36" t="s">
        <v>27</v>
      </c>
      <c r="C36">
        <f t="shared" si="0"/>
        <v>1464</v>
      </c>
      <c r="D36" t="s">
        <v>64</v>
      </c>
      <c r="E36" t="s">
        <v>29</v>
      </c>
      <c r="F36" t="s">
        <v>110</v>
      </c>
      <c r="G36" t="s">
        <v>30</v>
      </c>
      <c r="H36" t="s">
        <v>108</v>
      </c>
      <c r="I36">
        <v>46204</v>
      </c>
      <c r="J36" t="s">
        <v>34</v>
      </c>
    </row>
    <row r="37" spans="1:10" x14ac:dyDescent="0.3">
      <c r="A37">
        <v>41632</v>
      </c>
      <c r="B37" t="s">
        <v>27</v>
      </c>
      <c r="C37">
        <f t="shared" si="0"/>
        <v>1464</v>
      </c>
      <c r="D37" t="s">
        <v>64</v>
      </c>
      <c r="E37" t="s">
        <v>29</v>
      </c>
      <c r="F37" t="s">
        <v>110</v>
      </c>
      <c r="G37" t="s">
        <v>30</v>
      </c>
      <c r="H37" t="s">
        <v>108</v>
      </c>
      <c r="I37">
        <v>46204</v>
      </c>
      <c r="J37" t="s">
        <v>34</v>
      </c>
    </row>
    <row r="38" spans="1:10" x14ac:dyDescent="0.3">
      <c r="A38">
        <v>41615</v>
      </c>
      <c r="B38" t="s">
        <v>27</v>
      </c>
      <c r="C38">
        <f t="shared" si="0"/>
        <v>1464</v>
      </c>
      <c r="D38" t="s">
        <v>64</v>
      </c>
      <c r="E38" t="s">
        <v>29</v>
      </c>
      <c r="F38" t="s">
        <v>110</v>
      </c>
      <c r="G38" t="s">
        <v>30</v>
      </c>
      <c r="H38" t="s">
        <v>108</v>
      </c>
      <c r="I38">
        <v>46204</v>
      </c>
      <c r="J38" t="s">
        <v>34</v>
      </c>
    </row>
    <row r="39" spans="1:10" x14ac:dyDescent="0.3">
      <c r="A39">
        <v>42639</v>
      </c>
      <c r="B39" t="s">
        <v>27</v>
      </c>
      <c r="C39">
        <f t="shared" si="0"/>
        <v>1464</v>
      </c>
      <c r="D39" t="s">
        <v>64</v>
      </c>
      <c r="E39" t="s">
        <v>29</v>
      </c>
      <c r="F39" t="s">
        <v>110</v>
      </c>
      <c r="G39" t="s">
        <v>30</v>
      </c>
      <c r="H39" t="s">
        <v>108</v>
      </c>
      <c r="I39">
        <v>46204</v>
      </c>
      <c r="J39" t="s">
        <v>34</v>
      </c>
    </row>
    <row r="40" spans="1:10" x14ac:dyDescent="0.3">
      <c r="A40">
        <v>44802</v>
      </c>
      <c r="B40" t="s">
        <v>27</v>
      </c>
      <c r="C40">
        <f t="shared" si="0"/>
        <v>1464</v>
      </c>
      <c r="D40" t="s">
        <v>64</v>
      </c>
      <c r="E40" t="s">
        <v>29</v>
      </c>
      <c r="F40" t="s">
        <v>110</v>
      </c>
      <c r="G40" t="s">
        <v>30</v>
      </c>
      <c r="H40" t="s">
        <v>108</v>
      </c>
      <c r="I40">
        <v>46204</v>
      </c>
      <c r="J40" t="s">
        <v>34</v>
      </c>
    </row>
    <row r="41" spans="1:10" x14ac:dyDescent="0.3">
      <c r="A41">
        <v>36900</v>
      </c>
      <c r="B41" t="s">
        <v>27</v>
      </c>
      <c r="C41">
        <f t="shared" si="0"/>
        <v>1596</v>
      </c>
      <c r="D41" t="s">
        <v>62</v>
      </c>
      <c r="E41" t="s">
        <v>29</v>
      </c>
      <c r="F41" t="s">
        <v>111</v>
      </c>
      <c r="G41" t="s">
        <v>30</v>
      </c>
      <c r="H41" t="s">
        <v>108</v>
      </c>
      <c r="I41">
        <v>46204</v>
      </c>
      <c r="J41" t="s">
        <v>34</v>
      </c>
    </row>
    <row r="42" spans="1:10" x14ac:dyDescent="0.3">
      <c r="A42">
        <v>43173</v>
      </c>
      <c r="B42" t="s">
        <v>27</v>
      </c>
      <c r="C42">
        <f t="shared" si="0"/>
        <v>1596</v>
      </c>
      <c r="D42" t="s">
        <v>62</v>
      </c>
      <c r="E42" t="s">
        <v>29</v>
      </c>
      <c r="F42" t="s">
        <v>111</v>
      </c>
      <c r="G42" t="s">
        <v>30</v>
      </c>
      <c r="H42" t="s">
        <v>108</v>
      </c>
      <c r="I42">
        <v>46204</v>
      </c>
      <c r="J42" t="s">
        <v>34</v>
      </c>
    </row>
    <row r="43" spans="1:10" x14ac:dyDescent="0.3">
      <c r="A43">
        <v>35916</v>
      </c>
      <c r="B43" t="s">
        <v>27</v>
      </c>
      <c r="C43">
        <f t="shared" si="0"/>
        <v>1596</v>
      </c>
      <c r="D43" t="s">
        <v>62</v>
      </c>
      <c r="E43" t="s">
        <v>29</v>
      </c>
      <c r="F43" t="s">
        <v>111</v>
      </c>
      <c r="G43" t="s">
        <v>30</v>
      </c>
      <c r="H43" t="s">
        <v>108</v>
      </c>
      <c r="I43">
        <v>46204</v>
      </c>
      <c r="J43" t="s">
        <v>34</v>
      </c>
    </row>
    <row r="44" spans="1:10" x14ac:dyDescent="0.3">
      <c r="A44">
        <v>38579</v>
      </c>
      <c r="B44" t="s">
        <v>27</v>
      </c>
      <c r="C44">
        <f t="shared" si="0"/>
        <v>1429</v>
      </c>
      <c r="D44" t="s">
        <v>78</v>
      </c>
      <c r="E44" t="s">
        <v>29</v>
      </c>
      <c r="F44" t="s">
        <v>106</v>
      </c>
      <c r="G44" t="s">
        <v>30</v>
      </c>
      <c r="H44" t="s">
        <v>108</v>
      </c>
      <c r="I44">
        <v>46204</v>
      </c>
    </row>
    <row r="45" spans="1:10" x14ac:dyDescent="0.3">
      <c r="A45">
        <v>42136</v>
      </c>
      <c r="B45" t="s">
        <v>27</v>
      </c>
      <c r="C45">
        <f t="shared" si="0"/>
        <v>1596</v>
      </c>
      <c r="D45" t="s">
        <v>62</v>
      </c>
      <c r="E45" t="s">
        <v>29</v>
      </c>
      <c r="F45" t="s">
        <v>111</v>
      </c>
      <c r="G45" t="s">
        <v>30</v>
      </c>
      <c r="H45" t="s">
        <v>108</v>
      </c>
      <c r="I45">
        <v>46204</v>
      </c>
    </row>
    <row r="46" spans="1:10" x14ac:dyDescent="0.3">
      <c r="A46">
        <v>36402</v>
      </c>
      <c r="B46" t="s">
        <v>27</v>
      </c>
      <c r="C46">
        <f t="shared" si="0"/>
        <v>1464</v>
      </c>
      <c r="D46" t="s">
        <v>64</v>
      </c>
      <c r="E46" t="s">
        <v>29</v>
      </c>
      <c r="F46" t="s">
        <v>110</v>
      </c>
      <c r="G46" t="s">
        <v>30</v>
      </c>
      <c r="H46" t="s">
        <v>108</v>
      </c>
      <c r="I46">
        <v>46204</v>
      </c>
    </row>
    <row r="47" spans="1:10" x14ac:dyDescent="0.3">
      <c r="A47">
        <v>43434</v>
      </c>
      <c r="B47" t="s">
        <v>27</v>
      </c>
      <c r="C47">
        <f t="shared" si="0"/>
        <v>1464</v>
      </c>
      <c r="D47" t="s">
        <v>64</v>
      </c>
      <c r="E47" t="s">
        <v>29</v>
      </c>
      <c r="F47" t="s">
        <v>110</v>
      </c>
      <c r="G47" t="s">
        <v>30</v>
      </c>
      <c r="H47" t="s">
        <v>108</v>
      </c>
      <c r="I47">
        <v>46204</v>
      </c>
    </row>
    <row r="48" spans="1:10" x14ac:dyDescent="0.3">
      <c r="A48">
        <v>40389</v>
      </c>
      <c r="B48" t="s">
        <v>27</v>
      </c>
      <c r="C48">
        <f t="shared" si="0"/>
        <v>1464</v>
      </c>
      <c r="D48" t="s">
        <v>64</v>
      </c>
      <c r="E48" t="s">
        <v>29</v>
      </c>
      <c r="F48" t="s">
        <v>110</v>
      </c>
      <c r="G48" t="s">
        <v>30</v>
      </c>
      <c r="H48" t="s">
        <v>108</v>
      </c>
      <c r="I48">
        <v>46204</v>
      </c>
    </row>
    <row r="49" spans="1:9" x14ac:dyDescent="0.3">
      <c r="A49">
        <v>34108</v>
      </c>
      <c r="B49" t="s">
        <v>27</v>
      </c>
      <c r="C49">
        <f t="shared" si="0"/>
        <v>1211</v>
      </c>
      <c r="D49" t="s">
        <v>28</v>
      </c>
      <c r="E49" t="s">
        <v>29</v>
      </c>
      <c r="F49" t="s">
        <v>109</v>
      </c>
      <c r="G49" t="s">
        <v>30</v>
      </c>
      <c r="H49" t="s">
        <v>108</v>
      </c>
      <c r="I49">
        <v>46204</v>
      </c>
    </row>
    <row r="50" spans="1:9" x14ac:dyDescent="0.3">
      <c r="A50">
        <v>29214</v>
      </c>
      <c r="B50" t="s">
        <v>27</v>
      </c>
      <c r="C50">
        <f t="shared" si="0"/>
        <v>1211</v>
      </c>
      <c r="D50" t="s">
        <v>28</v>
      </c>
      <c r="E50" t="s">
        <v>29</v>
      </c>
      <c r="F50" t="s">
        <v>109</v>
      </c>
      <c r="G50" t="s">
        <v>30</v>
      </c>
      <c r="H50" t="s">
        <v>108</v>
      </c>
      <c r="I50">
        <v>46204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50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39"/>
  <sheetViews>
    <sheetView workbookViewId="0">
      <selection sqref="A1:R1"/>
    </sheetView>
  </sheetViews>
  <sheetFormatPr defaultRowHeight="15.6" x14ac:dyDescent="0.3"/>
  <sheetData>
    <row r="1" spans="1:18" x14ac:dyDescent="0.3">
      <c r="A1" s="1" t="s">
        <v>112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113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100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114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x14ac:dyDescent="0.3">
      <c r="A18">
        <v>39476</v>
      </c>
      <c r="B18" t="s">
        <v>27</v>
      </c>
      <c r="C18">
        <f t="shared" ref="C18:C39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1522</v>
      </c>
      <c r="D18" t="s">
        <v>115</v>
      </c>
      <c r="E18" t="s">
        <v>48</v>
      </c>
      <c r="F18" t="s">
        <v>111</v>
      </c>
      <c r="G18" t="s">
        <v>56</v>
      </c>
      <c r="H18" t="s">
        <v>97</v>
      </c>
      <c r="I18">
        <v>46205</v>
      </c>
      <c r="J18" t="s">
        <v>34</v>
      </c>
    </row>
    <row r="19" spans="1:11" x14ac:dyDescent="0.3">
      <c r="A19">
        <v>33607</v>
      </c>
      <c r="B19" t="s">
        <v>27</v>
      </c>
      <c r="C19">
        <f t="shared" si="0"/>
        <v>9808</v>
      </c>
      <c r="D19" t="s">
        <v>83</v>
      </c>
      <c r="E19" t="s">
        <v>48</v>
      </c>
      <c r="F19" t="s">
        <v>110</v>
      </c>
      <c r="G19" t="s">
        <v>52</v>
      </c>
      <c r="H19" t="s">
        <v>97</v>
      </c>
      <c r="I19">
        <v>46205</v>
      </c>
      <c r="J19" t="s">
        <v>34</v>
      </c>
    </row>
    <row r="20" spans="1:11" x14ac:dyDescent="0.3">
      <c r="A20">
        <v>44225</v>
      </c>
      <c r="B20" t="s">
        <v>27</v>
      </c>
      <c r="C20">
        <f t="shared" si="0"/>
        <v>9839</v>
      </c>
      <c r="D20" t="s">
        <v>116</v>
      </c>
      <c r="E20" t="s">
        <v>48</v>
      </c>
      <c r="F20" t="s">
        <v>110</v>
      </c>
      <c r="G20" t="s">
        <v>52</v>
      </c>
      <c r="H20" t="s">
        <v>97</v>
      </c>
      <c r="I20">
        <v>46205</v>
      </c>
      <c r="J20" t="s">
        <v>34</v>
      </c>
    </row>
    <row r="21" spans="1:11" x14ac:dyDescent="0.3">
      <c r="A21">
        <v>35533</v>
      </c>
      <c r="B21" t="s">
        <v>27</v>
      </c>
      <c r="C21">
        <f t="shared" si="0"/>
        <v>6127</v>
      </c>
      <c r="D21" t="s">
        <v>41</v>
      </c>
      <c r="E21" t="s">
        <v>48</v>
      </c>
      <c r="F21" t="s">
        <v>109</v>
      </c>
      <c r="G21" t="s">
        <v>42</v>
      </c>
      <c r="H21" t="s">
        <v>97</v>
      </c>
      <c r="I21">
        <v>46205</v>
      </c>
      <c r="J21" t="s">
        <v>34</v>
      </c>
    </row>
    <row r="22" spans="1:11" x14ac:dyDescent="0.3">
      <c r="A22">
        <v>45710</v>
      </c>
      <c r="B22" t="s">
        <v>27</v>
      </c>
      <c r="C22">
        <f t="shared" si="0"/>
        <v>1150</v>
      </c>
      <c r="D22" t="s">
        <v>67</v>
      </c>
      <c r="E22" t="s">
        <v>48</v>
      </c>
      <c r="F22" t="s">
        <v>111</v>
      </c>
      <c r="G22" t="s">
        <v>56</v>
      </c>
      <c r="H22" t="s">
        <v>97</v>
      </c>
      <c r="I22">
        <v>46205</v>
      </c>
      <c r="J22" t="s">
        <v>34</v>
      </c>
    </row>
    <row r="23" spans="1:11" x14ac:dyDescent="0.3">
      <c r="A23">
        <v>41349</v>
      </c>
      <c r="B23" t="s">
        <v>27</v>
      </c>
      <c r="C23">
        <f t="shared" si="0"/>
        <v>1273</v>
      </c>
      <c r="D23" t="s">
        <v>86</v>
      </c>
      <c r="E23" t="s">
        <v>48</v>
      </c>
      <c r="F23" t="s">
        <v>109</v>
      </c>
      <c r="G23" t="s">
        <v>42</v>
      </c>
      <c r="H23" t="s">
        <v>97</v>
      </c>
      <c r="I23">
        <v>46205</v>
      </c>
      <c r="J23" t="s">
        <v>34</v>
      </c>
    </row>
    <row r="24" spans="1:11" x14ac:dyDescent="0.3">
      <c r="A24">
        <v>39470</v>
      </c>
      <c r="B24" t="s">
        <v>27</v>
      </c>
      <c r="C24">
        <f t="shared" si="0"/>
        <v>9808</v>
      </c>
      <c r="D24" t="s">
        <v>83</v>
      </c>
      <c r="E24" t="s">
        <v>48</v>
      </c>
      <c r="F24" t="s">
        <v>110</v>
      </c>
      <c r="G24" t="s">
        <v>52</v>
      </c>
      <c r="H24" t="s">
        <v>97</v>
      </c>
      <c r="I24">
        <v>46205</v>
      </c>
      <c r="J24" t="s">
        <v>34</v>
      </c>
    </row>
    <row r="25" spans="1:11" x14ac:dyDescent="0.3">
      <c r="A25">
        <v>45591</v>
      </c>
      <c r="B25" t="s">
        <v>27</v>
      </c>
      <c r="C25">
        <f t="shared" si="0"/>
        <v>1615</v>
      </c>
      <c r="D25" t="s">
        <v>117</v>
      </c>
      <c r="E25" t="s">
        <v>48</v>
      </c>
      <c r="F25" t="s">
        <v>110</v>
      </c>
      <c r="G25" t="s">
        <v>52</v>
      </c>
      <c r="H25" t="s">
        <v>97</v>
      </c>
      <c r="I25">
        <v>46205</v>
      </c>
      <c r="J25" t="s">
        <v>34</v>
      </c>
    </row>
    <row r="26" spans="1:11" x14ac:dyDescent="0.3">
      <c r="A26">
        <v>40197</v>
      </c>
      <c r="B26" t="s">
        <v>27</v>
      </c>
      <c r="C26">
        <f t="shared" si="0"/>
        <v>1503</v>
      </c>
      <c r="D26" t="s">
        <v>118</v>
      </c>
      <c r="E26" t="s">
        <v>48</v>
      </c>
      <c r="F26" t="s">
        <v>110</v>
      </c>
      <c r="G26" t="s">
        <v>52</v>
      </c>
      <c r="H26" t="s">
        <v>97</v>
      </c>
      <c r="I26">
        <v>46205</v>
      </c>
      <c r="J26" t="s">
        <v>34</v>
      </c>
    </row>
    <row r="27" spans="1:11" x14ac:dyDescent="0.3">
      <c r="A27">
        <v>43435</v>
      </c>
      <c r="B27" t="s">
        <v>27</v>
      </c>
      <c r="C27">
        <f t="shared" si="0"/>
        <v>1150</v>
      </c>
      <c r="D27" t="s">
        <v>67</v>
      </c>
      <c r="E27" t="s">
        <v>48</v>
      </c>
      <c r="F27" t="s">
        <v>111</v>
      </c>
      <c r="G27" t="s">
        <v>56</v>
      </c>
      <c r="H27" t="s">
        <v>97</v>
      </c>
      <c r="I27">
        <v>46205</v>
      </c>
      <c r="J27" t="s">
        <v>34</v>
      </c>
    </row>
    <row r="28" spans="1:11" x14ac:dyDescent="0.3">
      <c r="A28">
        <v>42173</v>
      </c>
      <c r="B28" t="s">
        <v>27</v>
      </c>
      <c r="C28">
        <f t="shared" si="0"/>
        <v>9863</v>
      </c>
      <c r="D28" t="s">
        <v>119</v>
      </c>
      <c r="E28" t="s">
        <v>48</v>
      </c>
      <c r="F28" t="s">
        <v>110</v>
      </c>
      <c r="G28" t="s">
        <v>52</v>
      </c>
      <c r="H28" t="s">
        <v>97</v>
      </c>
      <c r="I28">
        <v>46205</v>
      </c>
      <c r="J28" t="s">
        <v>34</v>
      </c>
    </row>
    <row r="29" spans="1:11" x14ac:dyDescent="0.3">
      <c r="A29">
        <v>19848</v>
      </c>
      <c r="B29" t="s">
        <v>27</v>
      </c>
      <c r="C29">
        <f t="shared" si="0"/>
        <v>1280</v>
      </c>
      <c r="D29" t="s">
        <v>120</v>
      </c>
      <c r="E29" t="s">
        <v>48</v>
      </c>
      <c r="F29" t="s">
        <v>107</v>
      </c>
      <c r="G29" t="s">
        <v>49</v>
      </c>
      <c r="H29" t="s">
        <v>97</v>
      </c>
      <c r="I29">
        <v>46205</v>
      </c>
      <c r="J29" t="s">
        <v>34</v>
      </c>
    </row>
    <row r="30" spans="1:11" x14ac:dyDescent="0.3">
      <c r="A30">
        <v>40050</v>
      </c>
      <c r="B30" t="s">
        <v>27</v>
      </c>
      <c r="C30">
        <f t="shared" si="0"/>
        <v>1607</v>
      </c>
      <c r="D30" t="s">
        <v>121</v>
      </c>
      <c r="E30" t="s">
        <v>48</v>
      </c>
      <c r="F30" t="s">
        <v>109</v>
      </c>
      <c r="G30" t="s">
        <v>42</v>
      </c>
      <c r="H30" t="s">
        <v>97</v>
      </c>
      <c r="I30">
        <v>46205</v>
      </c>
      <c r="J30" t="s">
        <v>34</v>
      </c>
    </row>
    <row r="31" spans="1:11" x14ac:dyDescent="0.3">
      <c r="A31">
        <v>31399</v>
      </c>
      <c r="B31" t="s">
        <v>27</v>
      </c>
      <c r="C31" t="str">
        <f t="shared" si="0"/>
        <v/>
      </c>
      <c r="D31" t="s">
        <v>122</v>
      </c>
      <c r="E31" t="s">
        <v>48</v>
      </c>
      <c r="F31" t="s">
        <v>110</v>
      </c>
      <c r="G31" t="s">
        <v>52</v>
      </c>
      <c r="H31" t="s">
        <v>97</v>
      </c>
      <c r="I31">
        <v>46205</v>
      </c>
    </row>
    <row r="32" spans="1:11" x14ac:dyDescent="0.3">
      <c r="A32">
        <v>44220</v>
      </c>
      <c r="B32" t="s">
        <v>27</v>
      </c>
      <c r="C32">
        <f t="shared" si="0"/>
        <v>1596</v>
      </c>
      <c r="D32" t="s">
        <v>62</v>
      </c>
      <c r="E32" t="s">
        <v>29</v>
      </c>
      <c r="F32" t="s">
        <v>111</v>
      </c>
      <c r="G32" t="s">
        <v>30</v>
      </c>
      <c r="H32" t="s">
        <v>97</v>
      </c>
      <c r="I32">
        <v>46205</v>
      </c>
    </row>
    <row r="33" spans="1:10" x14ac:dyDescent="0.3">
      <c r="A33">
        <v>22457</v>
      </c>
      <c r="B33" t="s">
        <v>27</v>
      </c>
      <c r="C33" t="str">
        <f t="shared" si="0"/>
        <v/>
      </c>
      <c r="D33" t="s">
        <v>123</v>
      </c>
      <c r="E33" t="s">
        <v>48</v>
      </c>
      <c r="F33" t="s">
        <v>109</v>
      </c>
      <c r="G33" t="s">
        <v>42</v>
      </c>
      <c r="H33" t="s">
        <v>97</v>
      </c>
      <c r="I33">
        <v>46205</v>
      </c>
    </row>
    <row r="34" spans="1:10" x14ac:dyDescent="0.3">
      <c r="A34">
        <v>39470</v>
      </c>
      <c r="B34" t="s">
        <v>27</v>
      </c>
      <c r="C34">
        <f t="shared" si="0"/>
        <v>9808</v>
      </c>
      <c r="D34" t="s">
        <v>83</v>
      </c>
      <c r="E34" t="s">
        <v>48</v>
      </c>
      <c r="F34" t="s">
        <v>110</v>
      </c>
      <c r="G34" t="s">
        <v>52</v>
      </c>
      <c r="H34" t="s">
        <v>97</v>
      </c>
      <c r="I34">
        <v>46205</v>
      </c>
      <c r="J34" t="s">
        <v>34</v>
      </c>
    </row>
    <row r="35" spans="1:10" x14ac:dyDescent="0.3">
      <c r="A35">
        <v>42373</v>
      </c>
      <c r="B35" t="s">
        <v>124</v>
      </c>
      <c r="C35" t="str">
        <f t="shared" si="0"/>
        <v/>
      </c>
      <c r="I35">
        <v>46205</v>
      </c>
    </row>
    <row r="36" spans="1:10" x14ac:dyDescent="0.3">
      <c r="A36">
        <v>17453</v>
      </c>
      <c r="B36" t="s">
        <v>27</v>
      </c>
      <c r="C36" t="str">
        <f t="shared" si="0"/>
        <v/>
      </c>
      <c r="D36" t="s">
        <v>125</v>
      </c>
      <c r="E36" t="s">
        <v>48</v>
      </c>
      <c r="F36" t="s">
        <v>107</v>
      </c>
      <c r="G36" t="s">
        <v>49</v>
      </c>
      <c r="H36" t="s">
        <v>97</v>
      </c>
      <c r="I36">
        <v>46205</v>
      </c>
    </row>
    <row r="37" spans="1:10" x14ac:dyDescent="0.3">
      <c r="A37">
        <v>24833</v>
      </c>
      <c r="B37" t="s">
        <v>27</v>
      </c>
      <c r="C37">
        <f t="shared" si="0"/>
        <v>1150</v>
      </c>
      <c r="D37" t="s">
        <v>67</v>
      </c>
      <c r="I37">
        <v>46205</v>
      </c>
    </row>
    <row r="38" spans="1:10" x14ac:dyDescent="0.3">
      <c r="A38">
        <v>35978</v>
      </c>
      <c r="B38" t="s">
        <v>27</v>
      </c>
      <c r="C38">
        <f t="shared" si="0"/>
        <v>9863</v>
      </c>
      <c r="D38" t="s">
        <v>119</v>
      </c>
      <c r="E38" t="s">
        <v>48</v>
      </c>
      <c r="F38" t="s">
        <v>110</v>
      </c>
      <c r="G38" t="s">
        <v>52</v>
      </c>
      <c r="H38" t="s">
        <v>97</v>
      </c>
      <c r="I38">
        <v>46205</v>
      </c>
      <c r="J38" t="s">
        <v>34</v>
      </c>
    </row>
    <row r="39" spans="1:10" x14ac:dyDescent="0.3">
      <c r="A39">
        <v>39096</v>
      </c>
      <c r="B39" t="s">
        <v>27</v>
      </c>
      <c r="C39">
        <f t="shared" si="0"/>
        <v>1325</v>
      </c>
      <c r="D39" t="s">
        <v>126</v>
      </c>
      <c r="E39" t="s">
        <v>48</v>
      </c>
      <c r="F39" t="s">
        <v>107</v>
      </c>
      <c r="G39" t="s">
        <v>49</v>
      </c>
      <c r="H39" t="s">
        <v>97</v>
      </c>
      <c r="I39">
        <v>46205</v>
      </c>
      <c r="J39" t="s">
        <v>34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39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22"/>
  <sheetViews>
    <sheetView workbookViewId="0">
      <selection sqref="A1:R1"/>
    </sheetView>
  </sheetViews>
  <sheetFormatPr defaultRowHeight="15.6" x14ac:dyDescent="0.3"/>
  <sheetData>
    <row r="1" spans="1:18" x14ac:dyDescent="0.3">
      <c r="A1" s="1" t="s">
        <v>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127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128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129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x14ac:dyDescent="0.3">
      <c r="A18">
        <v>36147</v>
      </c>
      <c r="B18" t="s">
        <v>27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9886</v>
      </c>
      <c r="D18" t="s">
        <v>39</v>
      </c>
      <c r="E18" t="s">
        <v>29</v>
      </c>
      <c r="F18" t="s">
        <v>107</v>
      </c>
      <c r="G18" t="s">
        <v>30</v>
      </c>
      <c r="H18" t="s">
        <v>31</v>
      </c>
      <c r="I18">
        <v>46206</v>
      </c>
      <c r="J18" t="s">
        <v>34</v>
      </c>
    </row>
    <row r="19" spans="1:11" x14ac:dyDescent="0.3">
      <c r="A19">
        <v>39914</v>
      </c>
      <c r="B19" t="s">
        <v>27</v>
      </c>
      <c r="C19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1596</v>
      </c>
      <c r="D19" t="s">
        <v>62</v>
      </c>
      <c r="E19" t="s">
        <v>29</v>
      </c>
      <c r="F19" t="s">
        <v>111</v>
      </c>
      <c r="G19" t="s">
        <v>30</v>
      </c>
      <c r="H19" t="s">
        <v>31</v>
      </c>
      <c r="I19">
        <v>46206</v>
      </c>
      <c r="J19" t="s">
        <v>32</v>
      </c>
      <c r="K19">
        <v>175.75</v>
      </c>
    </row>
    <row r="20" spans="1:11" x14ac:dyDescent="0.3">
      <c r="A20">
        <v>36638</v>
      </c>
      <c r="B20" t="s">
        <v>27</v>
      </c>
      <c r="C20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1464</v>
      </c>
      <c r="D20" t="s">
        <v>64</v>
      </c>
      <c r="E20" t="s">
        <v>29</v>
      </c>
      <c r="F20" t="s">
        <v>110</v>
      </c>
      <c r="G20" t="s">
        <v>30</v>
      </c>
      <c r="H20" t="s">
        <v>31</v>
      </c>
      <c r="I20">
        <v>46206</v>
      </c>
      <c r="J20" t="s">
        <v>34</v>
      </c>
    </row>
    <row r="21" spans="1:11" x14ac:dyDescent="0.3">
      <c r="A21">
        <v>42253</v>
      </c>
      <c r="B21" t="s">
        <v>27</v>
      </c>
      <c r="C21">
        <f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1464</v>
      </c>
      <c r="D21" t="s">
        <v>64</v>
      </c>
      <c r="E21" t="s">
        <v>29</v>
      </c>
      <c r="F21" t="s">
        <v>110</v>
      </c>
      <c r="G21" t="s">
        <v>30</v>
      </c>
      <c r="H21" t="s">
        <v>31</v>
      </c>
      <c r="I21">
        <v>46206</v>
      </c>
      <c r="J21" t="s">
        <v>34</v>
      </c>
    </row>
    <row r="22" spans="1:11" x14ac:dyDescent="0.3">
      <c r="A22">
        <v>34855</v>
      </c>
      <c r="B22" t="s">
        <v>27</v>
      </c>
      <c r="C22">
        <f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1211</v>
      </c>
      <c r="D22" t="s">
        <v>28</v>
      </c>
      <c r="E22" t="s">
        <v>29</v>
      </c>
      <c r="F22" t="s">
        <v>109</v>
      </c>
      <c r="G22" t="s">
        <v>30</v>
      </c>
      <c r="H22" t="s">
        <v>31</v>
      </c>
      <c r="I22">
        <v>46206</v>
      </c>
      <c r="J22" t="s">
        <v>34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22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27"/>
  <sheetViews>
    <sheetView workbookViewId="0">
      <selection sqref="A1:R1"/>
    </sheetView>
  </sheetViews>
  <sheetFormatPr defaultRowHeight="15.6" x14ac:dyDescent="0.3"/>
  <sheetData>
    <row r="1" spans="1:18" x14ac:dyDescent="0.3">
      <c r="A1" s="1" t="s">
        <v>130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131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132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133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x14ac:dyDescent="0.3">
      <c r="A18">
        <v>36675</v>
      </c>
      <c r="B18" t="s">
        <v>27</v>
      </c>
      <c r="C18">
        <v>1596</v>
      </c>
      <c r="D18" t="s">
        <v>62</v>
      </c>
      <c r="E18" t="s">
        <v>29</v>
      </c>
      <c r="F18" t="s">
        <v>134</v>
      </c>
      <c r="G18" t="s">
        <v>30</v>
      </c>
      <c r="H18" t="s">
        <v>31</v>
      </c>
      <c r="I18">
        <v>46209</v>
      </c>
    </row>
    <row r="19" spans="1:11" x14ac:dyDescent="0.3">
      <c r="A19">
        <v>35090</v>
      </c>
      <c r="B19" t="s">
        <v>27</v>
      </c>
      <c r="C19">
        <v>9886</v>
      </c>
      <c r="D19" t="s">
        <v>39</v>
      </c>
      <c r="E19" t="s">
        <v>29</v>
      </c>
      <c r="F19" t="s">
        <v>107</v>
      </c>
      <c r="G19" t="s">
        <v>30</v>
      </c>
      <c r="H19" t="s">
        <v>31</v>
      </c>
      <c r="I19">
        <v>46209</v>
      </c>
    </row>
    <row r="20" spans="1:11" x14ac:dyDescent="0.3">
      <c r="A20">
        <v>37820</v>
      </c>
      <c r="B20" t="s">
        <v>27</v>
      </c>
      <c r="C20">
        <v>9886</v>
      </c>
      <c r="D20" t="s">
        <v>39</v>
      </c>
      <c r="E20" t="s">
        <v>29</v>
      </c>
      <c r="F20" t="s">
        <v>107</v>
      </c>
      <c r="G20" t="s">
        <v>30</v>
      </c>
      <c r="H20" t="s">
        <v>31</v>
      </c>
      <c r="I20">
        <v>46209</v>
      </c>
    </row>
    <row r="21" spans="1:11" x14ac:dyDescent="0.3">
      <c r="A21">
        <v>41688</v>
      </c>
      <c r="B21" t="s">
        <v>27</v>
      </c>
      <c r="C21">
        <v>1624</v>
      </c>
      <c r="D21" t="s">
        <v>39</v>
      </c>
      <c r="E21" t="s">
        <v>29</v>
      </c>
      <c r="F21" t="s">
        <v>109</v>
      </c>
      <c r="G21" t="s">
        <v>30</v>
      </c>
      <c r="H21" t="s">
        <v>31</v>
      </c>
      <c r="I21">
        <v>46209</v>
      </c>
    </row>
    <row r="22" spans="1:11" x14ac:dyDescent="0.3">
      <c r="A22">
        <v>42118</v>
      </c>
      <c r="B22" t="s">
        <v>27</v>
      </c>
      <c r="C22">
        <v>1464</v>
      </c>
      <c r="D22" t="s">
        <v>64</v>
      </c>
      <c r="E22" t="s">
        <v>29</v>
      </c>
      <c r="F22" t="s">
        <v>110</v>
      </c>
      <c r="G22" t="s">
        <v>30</v>
      </c>
      <c r="H22" t="s">
        <v>31</v>
      </c>
      <c r="I22">
        <v>46209</v>
      </c>
    </row>
    <row r="23" spans="1:11" x14ac:dyDescent="0.3">
      <c r="A23">
        <v>41286</v>
      </c>
      <c r="B23" t="s">
        <v>27</v>
      </c>
      <c r="C23">
        <v>1624</v>
      </c>
      <c r="D23" t="s">
        <v>39</v>
      </c>
      <c r="E23" t="s">
        <v>29</v>
      </c>
      <c r="F23" t="s">
        <v>109</v>
      </c>
      <c r="G23" t="s">
        <v>30</v>
      </c>
      <c r="H23" t="s">
        <v>31</v>
      </c>
      <c r="I23">
        <v>46209</v>
      </c>
    </row>
    <row r="24" spans="1:11" x14ac:dyDescent="0.3">
      <c r="A24">
        <v>39800</v>
      </c>
      <c r="B24" t="s">
        <v>27</v>
      </c>
      <c r="C24">
        <v>1596</v>
      </c>
      <c r="D24" t="s">
        <v>62</v>
      </c>
      <c r="E24" t="s">
        <v>29</v>
      </c>
      <c r="F24" t="s">
        <v>134</v>
      </c>
      <c r="G24" t="s">
        <v>30</v>
      </c>
      <c r="H24" t="s">
        <v>31</v>
      </c>
      <c r="I24">
        <v>46209</v>
      </c>
    </row>
    <row r="25" spans="1:11" x14ac:dyDescent="0.3">
      <c r="A25">
        <v>42574</v>
      </c>
      <c r="B25" t="s">
        <v>135</v>
      </c>
      <c r="C25">
        <v>1211</v>
      </c>
      <c r="D25" t="s">
        <v>136</v>
      </c>
      <c r="E25" t="s">
        <v>29</v>
      </c>
      <c r="F25" t="s">
        <v>106</v>
      </c>
      <c r="G25" t="s">
        <v>30</v>
      </c>
      <c r="H25" t="s">
        <v>31</v>
      </c>
      <c r="I25">
        <v>46209</v>
      </c>
    </row>
    <row r="26" spans="1:11" x14ac:dyDescent="0.3">
      <c r="A26">
        <v>41270</v>
      </c>
      <c r="B26" t="s">
        <v>27</v>
      </c>
      <c r="C26">
        <v>1211</v>
      </c>
      <c r="D26" t="s">
        <v>136</v>
      </c>
      <c r="E26" t="s">
        <v>29</v>
      </c>
      <c r="F26" t="s">
        <v>106</v>
      </c>
      <c r="G26" t="s">
        <v>30</v>
      </c>
      <c r="H26" t="s">
        <v>31</v>
      </c>
      <c r="I26">
        <v>46209</v>
      </c>
    </row>
    <row r="27" spans="1:11" x14ac:dyDescent="0.3">
      <c r="A27">
        <v>41959</v>
      </c>
      <c r="B27" t="s">
        <v>27</v>
      </c>
      <c r="C27">
        <v>1575</v>
      </c>
      <c r="D27" t="s">
        <v>137</v>
      </c>
      <c r="E27" t="s">
        <v>138</v>
      </c>
      <c r="F27" t="s">
        <v>110</v>
      </c>
      <c r="G27" t="s">
        <v>30</v>
      </c>
      <c r="H27" t="s">
        <v>31</v>
      </c>
      <c r="I27">
        <v>46210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28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33"/>
  <sheetViews>
    <sheetView workbookViewId="0">
      <selection sqref="A1:R1"/>
    </sheetView>
  </sheetViews>
  <sheetFormatPr defaultRowHeight="15.6" x14ac:dyDescent="0.3"/>
  <sheetData>
    <row r="1" spans="1:18" x14ac:dyDescent="0.3">
      <c r="A1" s="1" t="s">
        <v>139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131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100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140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x14ac:dyDescent="0.3">
      <c r="A18">
        <v>36861</v>
      </c>
      <c r="B18" t="s">
        <v>27</v>
      </c>
      <c r="C18">
        <v>1363</v>
      </c>
      <c r="D18" t="s">
        <v>141</v>
      </c>
      <c r="E18" t="s">
        <v>48</v>
      </c>
      <c r="F18" t="s">
        <v>109</v>
      </c>
      <c r="G18" t="s">
        <v>42</v>
      </c>
      <c r="H18" t="s">
        <v>31</v>
      </c>
      <c r="I18">
        <v>46209</v>
      </c>
    </row>
    <row r="19" spans="1:11" x14ac:dyDescent="0.3">
      <c r="A19">
        <v>44732</v>
      </c>
      <c r="B19" t="s">
        <v>27</v>
      </c>
      <c r="C19">
        <v>1273</v>
      </c>
      <c r="D19" t="s">
        <v>86</v>
      </c>
      <c r="E19" t="s">
        <v>48</v>
      </c>
      <c r="F19" t="s">
        <v>109</v>
      </c>
      <c r="G19" t="s">
        <v>42</v>
      </c>
      <c r="H19" t="s">
        <v>31</v>
      </c>
      <c r="I19">
        <v>46209</v>
      </c>
    </row>
    <row r="20" spans="1:11" x14ac:dyDescent="0.3">
      <c r="A20">
        <v>21419</v>
      </c>
      <c r="B20" t="s">
        <v>27</v>
      </c>
      <c r="C20">
        <v>1504</v>
      </c>
      <c r="D20" t="s">
        <v>47</v>
      </c>
      <c r="E20" t="s">
        <v>48</v>
      </c>
      <c r="F20" t="s">
        <v>107</v>
      </c>
      <c r="G20" t="s">
        <v>49</v>
      </c>
      <c r="H20" t="s">
        <v>31</v>
      </c>
      <c r="I20">
        <v>46209</v>
      </c>
    </row>
    <row r="21" spans="1:11" x14ac:dyDescent="0.3">
      <c r="A21">
        <v>37342</v>
      </c>
      <c r="B21" t="s">
        <v>27</v>
      </c>
      <c r="C21">
        <v>1211</v>
      </c>
      <c r="D21" t="s">
        <v>136</v>
      </c>
      <c r="E21" t="s">
        <v>29</v>
      </c>
      <c r="F21" t="s">
        <v>106</v>
      </c>
      <c r="G21" t="s">
        <v>30</v>
      </c>
      <c r="H21" t="s">
        <v>31</v>
      </c>
      <c r="I21">
        <v>46209</v>
      </c>
    </row>
    <row r="22" spans="1:11" x14ac:dyDescent="0.3">
      <c r="A22">
        <v>45275</v>
      </c>
      <c r="B22" t="s">
        <v>27</v>
      </c>
      <c r="C22">
        <v>1624</v>
      </c>
      <c r="D22" t="s">
        <v>39</v>
      </c>
      <c r="E22" t="s">
        <v>29</v>
      </c>
      <c r="F22" t="s">
        <v>109</v>
      </c>
      <c r="G22" t="s">
        <v>30</v>
      </c>
      <c r="H22" t="s">
        <v>31</v>
      </c>
      <c r="I22">
        <v>46209</v>
      </c>
    </row>
    <row r="23" spans="1:11" x14ac:dyDescent="0.3">
      <c r="A23">
        <v>23202</v>
      </c>
      <c r="B23" t="s">
        <v>27</v>
      </c>
      <c r="C23">
        <v>1234</v>
      </c>
      <c r="D23" t="s">
        <v>57</v>
      </c>
      <c r="E23" t="s">
        <v>48</v>
      </c>
      <c r="F23" t="s">
        <v>134</v>
      </c>
      <c r="G23" t="s">
        <v>56</v>
      </c>
      <c r="H23" t="s">
        <v>31</v>
      </c>
      <c r="I23">
        <v>46209</v>
      </c>
    </row>
    <row r="24" spans="1:11" x14ac:dyDescent="0.3">
      <c r="A24">
        <v>34079</v>
      </c>
      <c r="B24" t="s">
        <v>27</v>
      </c>
      <c r="C24">
        <v>1219</v>
      </c>
      <c r="D24" t="s">
        <v>142</v>
      </c>
      <c r="E24" t="s">
        <v>48</v>
      </c>
      <c r="F24" t="s">
        <v>110</v>
      </c>
      <c r="G24" t="s">
        <v>52</v>
      </c>
      <c r="H24" t="s">
        <v>31</v>
      </c>
      <c r="I24">
        <v>46209</v>
      </c>
    </row>
    <row r="25" spans="1:11" x14ac:dyDescent="0.3">
      <c r="A25">
        <v>41214</v>
      </c>
      <c r="B25" t="s">
        <v>135</v>
      </c>
      <c r="C25">
        <v>9794</v>
      </c>
      <c r="D25" t="s">
        <v>143</v>
      </c>
      <c r="E25" t="s">
        <v>48</v>
      </c>
      <c r="F25" t="s">
        <v>110</v>
      </c>
      <c r="G25" t="s">
        <v>52</v>
      </c>
      <c r="H25" t="s">
        <v>31</v>
      </c>
      <c r="I25">
        <v>46209</v>
      </c>
    </row>
    <row r="26" spans="1:11" x14ac:dyDescent="0.3">
      <c r="A26">
        <v>36687</v>
      </c>
      <c r="B26" t="s">
        <v>27</v>
      </c>
      <c r="C26">
        <v>1624</v>
      </c>
      <c r="D26" t="s">
        <v>39</v>
      </c>
      <c r="E26" t="s">
        <v>29</v>
      </c>
      <c r="F26" t="s">
        <v>109</v>
      </c>
      <c r="G26" t="s">
        <v>30</v>
      </c>
      <c r="H26" t="s">
        <v>31</v>
      </c>
      <c r="I26">
        <v>46209</v>
      </c>
    </row>
    <row r="27" spans="1:11" x14ac:dyDescent="0.3">
      <c r="A27">
        <v>33983</v>
      </c>
      <c r="B27" t="s">
        <v>27</v>
      </c>
      <c r="C27">
        <v>1237</v>
      </c>
      <c r="D27" t="s">
        <v>144</v>
      </c>
      <c r="E27" t="s">
        <v>48</v>
      </c>
      <c r="F27" t="s">
        <v>107</v>
      </c>
      <c r="G27" t="s">
        <v>49</v>
      </c>
      <c r="H27" t="s">
        <v>31</v>
      </c>
      <c r="I27">
        <v>46209</v>
      </c>
    </row>
    <row r="28" spans="1:11" x14ac:dyDescent="0.3">
      <c r="A28">
        <v>39508</v>
      </c>
      <c r="B28" t="s">
        <v>27</v>
      </c>
      <c r="C28">
        <v>1552</v>
      </c>
      <c r="D28" t="s">
        <v>145</v>
      </c>
      <c r="E28" t="s">
        <v>48</v>
      </c>
      <c r="F28" t="s">
        <v>134</v>
      </c>
      <c r="G28" t="s">
        <v>56</v>
      </c>
      <c r="H28" t="s">
        <v>31</v>
      </c>
      <c r="I28">
        <v>46209</v>
      </c>
    </row>
    <row r="29" spans="1:11" x14ac:dyDescent="0.3">
      <c r="A29">
        <v>45678</v>
      </c>
      <c r="B29" t="s">
        <v>27</v>
      </c>
      <c r="C29">
        <v>9920</v>
      </c>
      <c r="D29" t="s">
        <v>146</v>
      </c>
      <c r="E29" t="s">
        <v>48</v>
      </c>
      <c r="F29" t="s">
        <v>110</v>
      </c>
      <c r="G29" t="s">
        <v>52</v>
      </c>
      <c r="H29" t="s">
        <v>31</v>
      </c>
      <c r="I29">
        <v>46209</v>
      </c>
    </row>
    <row r="30" spans="1:11" x14ac:dyDescent="0.3">
      <c r="A30">
        <v>19609</v>
      </c>
      <c r="B30" t="s">
        <v>27</v>
      </c>
      <c r="C30">
        <v>9937</v>
      </c>
      <c r="D30" t="s">
        <v>58</v>
      </c>
      <c r="E30" t="s">
        <v>48</v>
      </c>
      <c r="F30" t="s">
        <v>106</v>
      </c>
      <c r="G30" t="s">
        <v>54</v>
      </c>
      <c r="H30" t="s">
        <v>31</v>
      </c>
      <c r="I30">
        <v>46209</v>
      </c>
    </row>
    <row r="31" spans="1:11" x14ac:dyDescent="0.3">
      <c r="A31">
        <v>22657</v>
      </c>
      <c r="B31" t="s">
        <v>27</v>
      </c>
      <c r="C31">
        <v>9808</v>
      </c>
      <c r="D31" t="s">
        <v>83</v>
      </c>
      <c r="E31" t="s">
        <v>48</v>
      </c>
      <c r="F31" t="s">
        <v>110</v>
      </c>
      <c r="G31" t="s">
        <v>52</v>
      </c>
      <c r="H31" t="s">
        <v>31</v>
      </c>
      <c r="I31">
        <v>46209</v>
      </c>
    </row>
    <row r="32" spans="1:11" x14ac:dyDescent="0.3">
      <c r="A32">
        <v>44225</v>
      </c>
      <c r="B32" t="s">
        <v>27</v>
      </c>
      <c r="C32">
        <v>9839</v>
      </c>
      <c r="D32" t="s">
        <v>147</v>
      </c>
      <c r="E32" t="s">
        <v>48</v>
      </c>
      <c r="F32" t="s">
        <v>110</v>
      </c>
      <c r="G32" t="s">
        <v>52</v>
      </c>
      <c r="H32" t="s">
        <v>31</v>
      </c>
      <c r="I32">
        <v>46209</v>
      </c>
    </row>
    <row r="33" spans="1:9" x14ac:dyDescent="0.3">
      <c r="A33">
        <v>45241</v>
      </c>
      <c r="B33" t="s">
        <v>27</v>
      </c>
      <c r="C33">
        <v>1607</v>
      </c>
      <c r="D33" t="s">
        <v>121</v>
      </c>
      <c r="E33" t="s">
        <v>48</v>
      </c>
      <c r="F33" t="s">
        <v>109</v>
      </c>
      <c r="G33" t="s">
        <v>42</v>
      </c>
      <c r="H33" t="s">
        <v>31</v>
      </c>
      <c r="I33">
        <v>46209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85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33"/>
  <sheetViews>
    <sheetView topLeftCell="C1" workbookViewId="0">
      <selection sqref="A1:R1"/>
    </sheetView>
  </sheetViews>
  <sheetFormatPr defaultRowHeight="15.6" x14ac:dyDescent="0.3"/>
  <sheetData>
    <row r="1" spans="1:18" x14ac:dyDescent="0.3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149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150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151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x14ac:dyDescent="0.3">
      <c r="A18">
        <v>43289</v>
      </c>
      <c r="B18" t="s">
        <v>27</v>
      </c>
      <c r="C18">
        <v>1464</v>
      </c>
      <c r="D18" t="s">
        <v>64</v>
      </c>
      <c r="E18" t="s">
        <v>29</v>
      </c>
      <c r="F18" t="s">
        <v>110</v>
      </c>
      <c r="G18" t="s">
        <v>30</v>
      </c>
    </row>
    <row r="19" spans="1:11" x14ac:dyDescent="0.3">
      <c r="A19">
        <v>42237</v>
      </c>
      <c r="B19" t="s">
        <v>135</v>
      </c>
      <c r="C19">
        <v>1575</v>
      </c>
      <c r="D19" t="s">
        <v>33</v>
      </c>
      <c r="E19" t="s">
        <v>152</v>
      </c>
      <c r="G19" t="s">
        <v>30</v>
      </c>
    </row>
    <row r="20" spans="1:11" x14ac:dyDescent="0.3">
      <c r="A20">
        <v>41729</v>
      </c>
      <c r="B20" t="s">
        <v>27</v>
      </c>
      <c r="C20">
        <v>1575</v>
      </c>
      <c r="D20" t="s">
        <v>33</v>
      </c>
      <c r="E20" t="s">
        <v>152</v>
      </c>
      <c r="G20" t="s">
        <v>30</v>
      </c>
    </row>
    <row r="21" spans="1:11" x14ac:dyDescent="0.3">
      <c r="A21">
        <v>35337</v>
      </c>
      <c r="B21" t="s">
        <v>27</v>
      </c>
      <c r="C21">
        <v>1575</v>
      </c>
      <c r="D21" t="s">
        <v>33</v>
      </c>
      <c r="E21" t="s">
        <v>152</v>
      </c>
      <c r="G21" t="s">
        <v>30</v>
      </c>
    </row>
    <row r="22" spans="1:11" x14ac:dyDescent="0.3">
      <c r="A22">
        <v>41880</v>
      </c>
      <c r="B22" t="s">
        <v>27</v>
      </c>
      <c r="C22">
        <v>1575</v>
      </c>
      <c r="D22" t="s">
        <v>33</v>
      </c>
      <c r="E22" t="s">
        <v>152</v>
      </c>
      <c r="G22" t="s">
        <v>30</v>
      </c>
    </row>
    <row r="23" spans="1:11" x14ac:dyDescent="0.3">
      <c r="A23">
        <v>41007</v>
      </c>
      <c r="B23" t="s">
        <v>135</v>
      </c>
      <c r="C23">
        <v>1575</v>
      </c>
      <c r="D23" t="s">
        <v>33</v>
      </c>
      <c r="E23" t="s">
        <v>152</v>
      </c>
      <c r="G23" t="s">
        <v>30</v>
      </c>
    </row>
    <row r="24" spans="1:11" x14ac:dyDescent="0.3">
      <c r="A24">
        <v>39661</v>
      </c>
      <c r="B24" t="s">
        <v>27</v>
      </c>
      <c r="C24">
        <v>1575</v>
      </c>
      <c r="D24" t="s">
        <v>33</v>
      </c>
      <c r="E24" t="s">
        <v>152</v>
      </c>
      <c r="G24" t="s">
        <v>30</v>
      </c>
    </row>
    <row r="25" spans="1:11" x14ac:dyDescent="0.3">
      <c r="A25">
        <v>41120</v>
      </c>
      <c r="B25" t="s">
        <v>27</v>
      </c>
      <c r="C25">
        <v>1575</v>
      </c>
      <c r="D25" t="s">
        <v>33</v>
      </c>
      <c r="E25" t="s">
        <v>152</v>
      </c>
      <c r="G25" t="s">
        <v>30</v>
      </c>
    </row>
    <row r="26" spans="1:11" x14ac:dyDescent="0.3">
      <c r="A26">
        <v>38651</v>
      </c>
      <c r="B26" t="s">
        <v>135</v>
      </c>
      <c r="C26">
        <v>1575</v>
      </c>
      <c r="D26" t="s">
        <v>33</v>
      </c>
      <c r="E26" t="s">
        <v>152</v>
      </c>
      <c r="G26" t="s">
        <v>30</v>
      </c>
    </row>
    <row r="27" spans="1:11" x14ac:dyDescent="0.3">
      <c r="A27">
        <v>43093</v>
      </c>
      <c r="B27" t="s">
        <v>135</v>
      </c>
      <c r="C27">
        <v>1575</v>
      </c>
      <c r="D27" t="s">
        <v>33</v>
      </c>
      <c r="E27" t="s">
        <v>152</v>
      </c>
      <c r="G27" t="s">
        <v>30</v>
      </c>
    </row>
    <row r="28" spans="1:11" x14ac:dyDescent="0.3">
      <c r="A28">
        <v>11538</v>
      </c>
      <c r="B28" t="s">
        <v>27</v>
      </c>
      <c r="C28">
        <v>1575</v>
      </c>
      <c r="D28" t="s">
        <v>33</v>
      </c>
      <c r="E28" t="s">
        <v>152</v>
      </c>
      <c r="G28" t="s">
        <v>30</v>
      </c>
    </row>
    <row r="29" spans="1:11" x14ac:dyDescent="0.3">
      <c r="A29">
        <v>40009</v>
      </c>
      <c r="B29" t="s">
        <v>27</v>
      </c>
      <c r="C29">
        <v>1575</v>
      </c>
      <c r="D29" t="s">
        <v>33</v>
      </c>
      <c r="E29" t="s">
        <v>152</v>
      </c>
      <c r="G29" t="s">
        <v>30</v>
      </c>
    </row>
    <row r="30" spans="1:11" x14ac:dyDescent="0.3">
      <c r="A30">
        <v>27873</v>
      </c>
      <c r="B30" t="s">
        <v>135</v>
      </c>
      <c r="C30">
        <v>1575</v>
      </c>
      <c r="D30" t="s">
        <v>33</v>
      </c>
      <c r="E30" t="s">
        <v>152</v>
      </c>
      <c r="G30" t="s">
        <v>30</v>
      </c>
    </row>
    <row r="31" spans="1:11" x14ac:dyDescent="0.3">
      <c r="A31">
        <v>33796</v>
      </c>
      <c r="B31" t="s">
        <v>27</v>
      </c>
      <c r="C31">
        <v>1575</v>
      </c>
      <c r="D31" t="s">
        <v>33</v>
      </c>
      <c r="E31" t="s">
        <v>152</v>
      </c>
      <c r="G31" t="s">
        <v>30</v>
      </c>
    </row>
    <row r="32" spans="1:11" x14ac:dyDescent="0.3">
      <c r="A32">
        <v>36702</v>
      </c>
      <c r="B32" t="s">
        <v>27</v>
      </c>
      <c r="C32">
        <v>1575</v>
      </c>
      <c r="D32" t="s">
        <v>33</v>
      </c>
      <c r="E32" t="s">
        <v>152</v>
      </c>
      <c r="G32" t="s">
        <v>30</v>
      </c>
    </row>
    <row r="33" spans="1:7" x14ac:dyDescent="0.3">
      <c r="A33">
        <v>41331</v>
      </c>
      <c r="B33" t="s">
        <v>27</v>
      </c>
      <c r="C33">
        <v>1575</v>
      </c>
      <c r="D33" t="s">
        <v>33</v>
      </c>
      <c r="E33" t="s">
        <v>152</v>
      </c>
      <c r="G33" t="s">
        <v>30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85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25"/>
  <sheetViews>
    <sheetView workbookViewId="0">
      <selection sqref="A1:R1"/>
    </sheetView>
  </sheetViews>
  <sheetFormatPr defaultRowHeight="15.6" x14ac:dyDescent="0.3"/>
  <sheetData>
    <row r="1" spans="1:18" x14ac:dyDescent="0.3">
      <c r="A1" s="1" t="s">
        <v>153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154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155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156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x14ac:dyDescent="0.3">
      <c r="A18">
        <v>43111</v>
      </c>
      <c r="B18" t="s">
        <v>27</v>
      </c>
      <c r="C18">
        <v>1575</v>
      </c>
      <c r="D18" t="s">
        <v>33</v>
      </c>
      <c r="E18" t="s">
        <v>138</v>
      </c>
      <c r="F18" t="s">
        <v>134</v>
      </c>
      <c r="G18" t="s">
        <v>30</v>
      </c>
      <c r="H18" t="s">
        <v>157</v>
      </c>
    </row>
    <row r="19" spans="1:11" x14ac:dyDescent="0.3">
      <c r="A19">
        <v>42112</v>
      </c>
      <c r="B19" t="s">
        <v>27</v>
      </c>
      <c r="C19">
        <v>1575</v>
      </c>
      <c r="D19" t="s">
        <v>33</v>
      </c>
      <c r="E19" t="s">
        <v>138</v>
      </c>
      <c r="F19" t="s">
        <v>106</v>
      </c>
      <c r="G19" t="s">
        <v>30</v>
      </c>
      <c r="H19" t="s">
        <v>157</v>
      </c>
    </row>
    <row r="20" spans="1:11" x14ac:dyDescent="0.3">
      <c r="A20">
        <v>39734</v>
      </c>
      <c r="B20" t="s">
        <v>135</v>
      </c>
      <c r="C20">
        <v>1575</v>
      </c>
      <c r="D20" t="s">
        <v>33</v>
      </c>
      <c r="E20" t="s">
        <v>138</v>
      </c>
      <c r="F20" t="s">
        <v>106</v>
      </c>
      <c r="G20" t="s">
        <v>30</v>
      </c>
      <c r="H20" t="s">
        <v>157</v>
      </c>
    </row>
    <row r="21" spans="1:11" x14ac:dyDescent="0.3">
      <c r="A21">
        <v>36075</v>
      </c>
      <c r="B21" t="s">
        <v>27</v>
      </c>
      <c r="C21">
        <v>1575</v>
      </c>
      <c r="D21" t="s">
        <v>33</v>
      </c>
      <c r="E21" t="s">
        <v>138</v>
      </c>
      <c r="F21" t="s">
        <v>110</v>
      </c>
      <c r="G21" t="s">
        <v>30</v>
      </c>
      <c r="H21" t="s">
        <v>157</v>
      </c>
    </row>
    <row r="22" spans="1:11" x14ac:dyDescent="0.3">
      <c r="A22">
        <v>43434</v>
      </c>
      <c r="B22" t="s">
        <v>27</v>
      </c>
      <c r="C22">
        <v>1575</v>
      </c>
      <c r="D22" t="s">
        <v>33</v>
      </c>
      <c r="E22" t="s">
        <v>138</v>
      </c>
      <c r="F22" t="s">
        <v>110</v>
      </c>
      <c r="G22" t="s">
        <v>30</v>
      </c>
      <c r="H22" t="s">
        <v>157</v>
      </c>
    </row>
    <row r="23" spans="1:11" x14ac:dyDescent="0.3">
      <c r="A23">
        <v>35940</v>
      </c>
      <c r="B23" t="s">
        <v>27</v>
      </c>
      <c r="C23">
        <v>1575</v>
      </c>
      <c r="D23" t="s">
        <v>33</v>
      </c>
      <c r="E23" t="s">
        <v>138</v>
      </c>
      <c r="F23" t="s">
        <v>107</v>
      </c>
      <c r="G23" t="s">
        <v>30</v>
      </c>
      <c r="H23" t="s">
        <v>157</v>
      </c>
    </row>
    <row r="24" spans="1:11" x14ac:dyDescent="0.3">
      <c r="A24">
        <v>42292</v>
      </c>
      <c r="B24" t="s">
        <v>27</v>
      </c>
      <c r="C24">
        <v>1575</v>
      </c>
      <c r="D24" t="s">
        <v>33</v>
      </c>
      <c r="E24" t="s">
        <v>138</v>
      </c>
      <c r="F24" t="s">
        <v>106</v>
      </c>
      <c r="G24" t="s">
        <v>30</v>
      </c>
      <c r="H24" t="s">
        <v>157</v>
      </c>
    </row>
    <row r="25" spans="1:11" x14ac:dyDescent="0.3">
      <c r="A25">
        <v>43386</v>
      </c>
      <c r="B25" t="s">
        <v>135</v>
      </c>
      <c r="C25">
        <v>1575</v>
      </c>
      <c r="D25" t="s">
        <v>33</v>
      </c>
      <c r="E25" t="s">
        <v>138</v>
      </c>
      <c r="F25" t="s">
        <v>110</v>
      </c>
      <c r="G25" t="s">
        <v>30</v>
      </c>
      <c r="H25" t="s">
        <v>157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85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38"/>
  <sheetViews>
    <sheetView workbookViewId="0">
      <selection sqref="A1:R1"/>
    </sheetView>
  </sheetViews>
  <sheetFormatPr defaultRowHeight="15.6" x14ac:dyDescent="0.3"/>
  <sheetData>
    <row r="1" spans="1:18" x14ac:dyDescent="0.3">
      <c r="A1" s="1" t="s">
        <v>158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154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100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159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x14ac:dyDescent="0.3">
      <c r="A18">
        <v>44663</v>
      </c>
      <c r="B18" t="s">
        <v>27</v>
      </c>
      <c r="C18">
        <v>1445</v>
      </c>
      <c r="D18" t="s">
        <v>160</v>
      </c>
      <c r="E18" t="s">
        <v>48</v>
      </c>
      <c r="F18" t="s">
        <v>110</v>
      </c>
      <c r="G18" t="s">
        <v>52</v>
      </c>
      <c r="H18" t="s">
        <v>157</v>
      </c>
    </row>
    <row r="19" spans="1:11" x14ac:dyDescent="0.3">
      <c r="A19">
        <v>40362</v>
      </c>
      <c r="B19" t="s">
        <v>27</v>
      </c>
      <c r="C19">
        <v>1278</v>
      </c>
      <c r="D19" t="s">
        <v>66</v>
      </c>
      <c r="E19" t="s">
        <v>48</v>
      </c>
      <c r="F19" t="s">
        <v>134</v>
      </c>
      <c r="G19" t="s">
        <v>56</v>
      </c>
      <c r="H19" t="s">
        <v>157</v>
      </c>
    </row>
    <row r="20" spans="1:11" x14ac:dyDescent="0.3">
      <c r="A20">
        <v>40333</v>
      </c>
      <c r="B20" t="s">
        <v>135</v>
      </c>
      <c r="C20">
        <v>9886</v>
      </c>
      <c r="D20" t="s">
        <v>39</v>
      </c>
      <c r="E20" t="s">
        <v>29</v>
      </c>
      <c r="F20" t="s">
        <v>107</v>
      </c>
      <c r="G20" t="s">
        <v>49</v>
      </c>
      <c r="H20" t="s">
        <v>157</v>
      </c>
    </row>
    <row r="21" spans="1:11" x14ac:dyDescent="0.3">
      <c r="A21">
        <v>45117</v>
      </c>
      <c r="B21" t="s">
        <v>27</v>
      </c>
      <c r="C21">
        <v>1623</v>
      </c>
      <c r="D21" t="s">
        <v>81</v>
      </c>
      <c r="E21" t="s">
        <v>48</v>
      </c>
      <c r="F21" t="s">
        <v>106</v>
      </c>
      <c r="G21" t="s">
        <v>54</v>
      </c>
      <c r="H21" t="s">
        <v>157</v>
      </c>
    </row>
    <row r="22" spans="1:11" x14ac:dyDescent="0.3">
      <c r="A22">
        <v>39991</v>
      </c>
      <c r="B22" t="s">
        <v>135</v>
      </c>
      <c r="H22" t="s">
        <v>157</v>
      </c>
    </row>
    <row r="23" spans="1:11" x14ac:dyDescent="0.3">
      <c r="A23">
        <v>24412</v>
      </c>
      <c r="B23" t="s">
        <v>135</v>
      </c>
      <c r="H23" t="s">
        <v>157</v>
      </c>
    </row>
    <row r="24" spans="1:11" x14ac:dyDescent="0.3">
      <c r="A24">
        <v>45665</v>
      </c>
      <c r="B24" t="s">
        <v>161</v>
      </c>
      <c r="D24" t="s">
        <v>86</v>
      </c>
      <c r="E24" t="s">
        <v>48</v>
      </c>
      <c r="F24" t="s">
        <v>109</v>
      </c>
      <c r="H24" t="s">
        <v>157</v>
      </c>
    </row>
    <row r="25" spans="1:11" x14ac:dyDescent="0.3">
      <c r="A25">
        <v>45469</v>
      </c>
      <c r="B25" t="s">
        <v>161</v>
      </c>
      <c r="D25" t="s">
        <v>58</v>
      </c>
      <c r="E25" t="s">
        <v>48</v>
      </c>
      <c r="F25" t="s">
        <v>162</v>
      </c>
      <c r="G25" t="s">
        <v>54</v>
      </c>
      <c r="H25" t="s">
        <v>157</v>
      </c>
    </row>
    <row r="26" spans="1:11" x14ac:dyDescent="0.3">
      <c r="A26">
        <v>45591</v>
      </c>
      <c r="B26" t="s">
        <v>161</v>
      </c>
      <c r="D26" t="s">
        <v>117</v>
      </c>
      <c r="E26" t="s">
        <v>48</v>
      </c>
      <c r="F26" t="s">
        <v>110</v>
      </c>
      <c r="G26" t="s">
        <v>52</v>
      </c>
      <c r="H26" t="s">
        <v>157</v>
      </c>
    </row>
    <row r="27" spans="1:11" x14ac:dyDescent="0.3">
      <c r="A27">
        <v>37151</v>
      </c>
      <c r="B27" t="s">
        <v>161</v>
      </c>
      <c r="D27" t="s">
        <v>28</v>
      </c>
      <c r="E27" t="s">
        <v>29</v>
      </c>
      <c r="F27" t="s">
        <v>162</v>
      </c>
      <c r="G27" t="s">
        <v>30</v>
      </c>
      <c r="H27" t="s">
        <v>157</v>
      </c>
    </row>
    <row r="28" spans="1:11" x14ac:dyDescent="0.3">
      <c r="A28">
        <v>25598</v>
      </c>
      <c r="B28" t="s">
        <v>135</v>
      </c>
      <c r="H28" t="s">
        <v>157</v>
      </c>
    </row>
    <row r="29" spans="1:11" x14ac:dyDescent="0.3">
      <c r="A29">
        <v>39096</v>
      </c>
      <c r="B29" t="s">
        <v>135</v>
      </c>
      <c r="H29" t="s">
        <v>157</v>
      </c>
    </row>
    <row r="30" spans="1:11" x14ac:dyDescent="0.3">
      <c r="A30">
        <v>45304</v>
      </c>
      <c r="B30" t="s">
        <v>161</v>
      </c>
      <c r="D30" t="s">
        <v>163</v>
      </c>
      <c r="E30" t="s">
        <v>48</v>
      </c>
      <c r="F30" t="s">
        <v>107</v>
      </c>
      <c r="G30" t="s">
        <v>49</v>
      </c>
      <c r="H30" t="s">
        <v>157</v>
      </c>
    </row>
    <row r="31" spans="1:11" x14ac:dyDescent="0.3">
      <c r="A31">
        <v>42285</v>
      </c>
      <c r="B31" t="s">
        <v>161</v>
      </c>
      <c r="D31" t="s">
        <v>64</v>
      </c>
      <c r="E31" t="s">
        <v>29</v>
      </c>
      <c r="F31" t="s">
        <v>110</v>
      </c>
      <c r="G31" t="s">
        <v>30</v>
      </c>
      <c r="H31" t="s">
        <v>157</v>
      </c>
    </row>
    <row r="32" spans="1:11" x14ac:dyDescent="0.3">
      <c r="A32">
        <v>41236</v>
      </c>
      <c r="B32" t="s">
        <v>161</v>
      </c>
      <c r="D32" t="s">
        <v>65</v>
      </c>
      <c r="E32" t="s">
        <v>48</v>
      </c>
      <c r="F32" t="s">
        <v>110</v>
      </c>
      <c r="G32" t="s">
        <v>164</v>
      </c>
      <c r="H32" t="s">
        <v>157</v>
      </c>
    </row>
    <row r="33" spans="1:8" x14ac:dyDescent="0.3">
      <c r="A33">
        <v>35304</v>
      </c>
      <c r="B33" t="s">
        <v>161</v>
      </c>
      <c r="D33" t="s">
        <v>165</v>
      </c>
      <c r="E33" t="s">
        <v>48</v>
      </c>
      <c r="F33" t="s">
        <v>162</v>
      </c>
      <c r="G33" t="s">
        <v>54</v>
      </c>
      <c r="H33" t="s">
        <v>157</v>
      </c>
    </row>
    <row r="34" spans="1:8" x14ac:dyDescent="0.3">
      <c r="A34">
        <v>42360</v>
      </c>
      <c r="B34" t="s">
        <v>161</v>
      </c>
      <c r="D34" t="s">
        <v>81</v>
      </c>
      <c r="E34" t="s">
        <v>48</v>
      </c>
      <c r="F34" t="s">
        <v>162</v>
      </c>
      <c r="G34" t="s">
        <v>54</v>
      </c>
      <c r="H34" t="s">
        <v>157</v>
      </c>
    </row>
    <row r="35" spans="1:8" x14ac:dyDescent="0.3">
      <c r="A35">
        <v>20828</v>
      </c>
      <c r="B35" t="s">
        <v>161</v>
      </c>
      <c r="D35" t="s">
        <v>39</v>
      </c>
      <c r="E35" t="s">
        <v>29</v>
      </c>
      <c r="F35" t="s">
        <v>107</v>
      </c>
      <c r="G35" t="s">
        <v>30</v>
      </c>
      <c r="H35" t="s">
        <v>157</v>
      </c>
    </row>
    <row r="36" spans="1:8" x14ac:dyDescent="0.3">
      <c r="A36">
        <v>29950</v>
      </c>
      <c r="B36" t="s">
        <v>161</v>
      </c>
      <c r="D36" t="s">
        <v>41</v>
      </c>
      <c r="E36" t="s">
        <v>48</v>
      </c>
      <c r="F36" t="s">
        <v>109</v>
      </c>
      <c r="G36" t="s">
        <v>42</v>
      </c>
      <c r="H36" t="s">
        <v>157</v>
      </c>
    </row>
    <row r="37" spans="1:8" x14ac:dyDescent="0.3">
      <c r="A37">
        <v>30503</v>
      </c>
      <c r="B37" t="s">
        <v>161</v>
      </c>
      <c r="D37" t="s">
        <v>39</v>
      </c>
      <c r="F37" t="s">
        <v>107</v>
      </c>
      <c r="G37" t="s">
        <v>30</v>
      </c>
      <c r="H37" t="s">
        <v>157</v>
      </c>
    </row>
    <row r="38" spans="1:8" x14ac:dyDescent="0.3">
      <c r="A38">
        <v>43612</v>
      </c>
      <c r="B38" t="s">
        <v>161</v>
      </c>
      <c r="D38" t="s">
        <v>125</v>
      </c>
      <c r="E38" t="s">
        <v>48</v>
      </c>
      <c r="F38" t="s">
        <v>107</v>
      </c>
      <c r="G38" t="s">
        <v>49</v>
      </c>
      <c r="H38" t="s">
        <v>157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85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R22"/>
  <sheetViews>
    <sheetView workbookViewId="0">
      <selection sqref="A1:R1"/>
    </sheetView>
  </sheetViews>
  <sheetFormatPr defaultRowHeight="15.6" x14ac:dyDescent="0.3"/>
  <sheetData>
    <row r="1" spans="1:18" x14ac:dyDescent="0.3">
      <c r="A1" s="1" t="s">
        <v>166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x14ac:dyDescent="0.3">
      <c r="A5" s="1" t="s">
        <v>167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x14ac:dyDescent="0.3">
      <c r="A9" s="1" t="s">
        <v>168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x14ac:dyDescent="0.3">
      <c r="A13" s="1" t="s">
        <v>169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x14ac:dyDescent="0.3">
      <c r="A18">
        <v>44501</v>
      </c>
      <c r="B18" t="s">
        <v>27</v>
      </c>
      <c r="D18" t="s">
        <v>137</v>
      </c>
      <c r="E18" t="s">
        <v>170</v>
      </c>
      <c r="G18" t="s">
        <v>30</v>
      </c>
      <c r="H18" t="s">
        <v>171</v>
      </c>
      <c r="I18">
        <v>46212</v>
      </c>
    </row>
    <row r="19" spans="1:11" x14ac:dyDescent="0.3">
      <c r="A19">
        <v>44442</v>
      </c>
      <c r="B19" t="s">
        <v>27</v>
      </c>
      <c r="C19">
        <v>1596</v>
      </c>
      <c r="D19" t="s">
        <v>62</v>
      </c>
      <c r="E19" t="s">
        <v>170</v>
      </c>
      <c r="F19" t="s">
        <v>110</v>
      </c>
      <c r="G19" t="s">
        <v>30</v>
      </c>
      <c r="H19" t="s">
        <v>171</v>
      </c>
      <c r="I19">
        <v>46212</v>
      </c>
    </row>
    <row r="20" spans="1:11" x14ac:dyDescent="0.3">
      <c r="A20">
        <v>41235</v>
      </c>
      <c r="B20" t="s">
        <v>27</v>
      </c>
      <c r="C20">
        <v>9886</v>
      </c>
      <c r="D20" t="s">
        <v>39</v>
      </c>
      <c r="E20" t="s">
        <v>170</v>
      </c>
      <c r="F20" t="s">
        <v>107</v>
      </c>
      <c r="G20" t="s">
        <v>30</v>
      </c>
      <c r="H20" t="s">
        <v>171</v>
      </c>
      <c r="I20">
        <v>46212</v>
      </c>
    </row>
    <row r="21" spans="1:11" x14ac:dyDescent="0.3">
      <c r="A21">
        <v>41723</v>
      </c>
      <c r="B21" t="s">
        <v>27</v>
      </c>
      <c r="C21">
        <v>1464</v>
      </c>
      <c r="D21" t="s">
        <v>64</v>
      </c>
      <c r="E21" t="s">
        <v>170</v>
      </c>
      <c r="F21" t="s">
        <v>110</v>
      </c>
      <c r="G21" t="s">
        <v>30</v>
      </c>
      <c r="H21" t="s">
        <v>171</v>
      </c>
      <c r="I21">
        <v>46212</v>
      </c>
    </row>
    <row r="22" spans="1:11" x14ac:dyDescent="0.3">
      <c r="A22">
        <v>42952</v>
      </c>
      <c r="B22" t="s">
        <v>27</v>
      </c>
      <c r="C22">
        <v>9886</v>
      </c>
      <c r="D22" t="s">
        <v>39</v>
      </c>
      <c r="E22" t="s">
        <v>170</v>
      </c>
      <c r="F22" t="s">
        <v>107</v>
      </c>
      <c r="G22" t="s">
        <v>30</v>
      </c>
      <c r="H22" t="s">
        <v>171</v>
      </c>
      <c r="I22">
        <v>46212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84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R224"/>
  <sheetViews>
    <sheetView tabSelected="1" zoomScale="75" workbookViewId="0">
      <selection activeCell="K1" sqref="K1:K1048576"/>
    </sheetView>
  </sheetViews>
  <sheetFormatPr defaultRowHeight="15.6" x14ac:dyDescent="0.3"/>
  <cols>
    <col min="1" max="1" width="6.3984375" bestFit="1" customWidth="1"/>
    <col min="2" max="2" width="13" bestFit="1" customWidth="1"/>
    <col min="4" max="4" width="17.796875" bestFit="1" customWidth="1"/>
    <col min="5" max="5" width="10.296875" bestFit="1" customWidth="1"/>
    <col min="6" max="6" width="13" bestFit="1" customWidth="1"/>
    <col min="7" max="7" width="11.09765625" bestFit="1" customWidth="1"/>
    <col min="8" max="8" width="59.8984375" bestFit="1" customWidth="1"/>
    <col min="9" max="9" width="10.5" style="3" bestFit="1" customWidth="1"/>
    <col min="11" max="11" width="16.796875" style="4" bestFit="1" customWidth="1"/>
    <col min="12" max="12" width="12.69921875" bestFit="1" customWidth="1"/>
    <col min="13" max="13" width="52.69921875" bestFit="1" customWidth="1"/>
    <col min="14" max="14" width="54.3984375" bestFit="1" customWidth="1"/>
    <col min="15" max="15" width="10.5" style="3" bestFit="1" customWidth="1"/>
    <col min="17" max="17" width="10.19921875" bestFit="1" customWidth="1"/>
    <col min="18" max="18" width="32" bestFit="1" customWidth="1"/>
  </cols>
  <sheetData>
    <row r="1" spans="1:18" x14ac:dyDescent="0.3">
      <c r="A1" s="8" t="s">
        <v>16</v>
      </c>
      <c r="B1" s="8" t="s">
        <v>17</v>
      </c>
      <c r="C1" s="8" t="s">
        <v>18</v>
      </c>
      <c r="D1" s="8" t="s">
        <v>19</v>
      </c>
      <c r="E1" s="8" t="s">
        <v>20</v>
      </c>
      <c r="F1" s="8" t="s">
        <v>21</v>
      </c>
      <c r="G1" s="8" t="s">
        <v>22</v>
      </c>
      <c r="H1" s="8" t="s">
        <v>23</v>
      </c>
      <c r="I1" s="10" t="s">
        <v>24</v>
      </c>
      <c r="J1" s="8" t="s">
        <v>25</v>
      </c>
      <c r="K1" s="6" t="s">
        <v>218</v>
      </c>
      <c r="L1" s="2"/>
      <c r="M1" t="s">
        <v>172</v>
      </c>
      <c r="N1" t="s">
        <v>23</v>
      </c>
      <c r="O1" s="3" t="s">
        <v>173</v>
      </c>
      <c r="P1" t="s">
        <v>174</v>
      </c>
      <c r="Q1" t="s">
        <v>175</v>
      </c>
      <c r="R1" t="s">
        <v>176</v>
      </c>
    </row>
    <row r="2" spans="1:18" x14ac:dyDescent="0.3">
      <c r="A2" s="7">
        <v>22921</v>
      </c>
      <c r="B2" s="7" t="s">
        <v>27</v>
      </c>
      <c r="C2" s="7">
        <v>1575</v>
      </c>
      <c r="D2" s="7" t="s">
        <v>137</v>
      </c>
      <c r="E2" s="7" t="s">
        <v>29</v>
      </c>
      <c r="F2" s="7" t="s">
        <v>177</v>
      </c>
      <c r="G2" s="7" t="s">
        <v>30</v>
      </c>
      <c r="H2" s="7" t="s">
        <v>178</v>
      </c>
      <c r="I2" s="9">
        <v>46195</v>
      </c>
      <c r="J2" s="7" t="s">
        <v>34</v>
      </c>
      <c r="K2" s="5">
        <v>0</v>
      </c>
      <c r="M2" t="s">
        <v>172</v>
      </c>
      <c r="N2" t="s">
        <v>179</v>
      </c>
      <c r="O2" s="3">
        <v>46183</v>
      </c>
      <c r="P2">
        <v>1539</v>
      </c>
      <c r="Q2">
        <v>643</v>
      </c>
      <c r="R2" t="s">
        <v>180</v>
      </c>
    </row>
    <row r="3" spans="1:18" x14ac:dyDescent="0.3">
      <c r="A3" s="7">
        <v>28483</v>
      </c>
      <c r="B3" s="7" t="s">
        <v>27</v>
      </c>
      <c r="C3" s="7">
        <v>1575</v>
      </c>
      <c r="D3" s="7" t="s">
        <v>137</v>
      </c>
      <c r="E3" s="7" t="s">
        <v>29</v>
      </c>
      <c r="F3" s="7" t="s">
        <v>177</v>
      </c>
      <c r="G3" s="7" t="s">
        <v>30</v>
      </c>
      <c r="H3" s="7" t="s">
        <v>178</v>
      </c>
      <c r="I3" s="9">
        <v>46195</v>
      </c>
      <c r="J3" s="7" t="s">
        <v>34</v>
      </c>
      <c r="K3" s="5">
        <v>0</v>
      </c>
      <c r="M3" t="s">
        <v>172</v>
      </c>
      <c r="N3" t="s">
        <v>181</v>
      </c>
      <c r="O3" s="3">
        <v>46191</v>
      </c>
      <c r="P3">
        <v>3989</v>
      </c>
      <c r="Q3">
        <v>1269</v>
      </c>
      <c r="R3" t="s">
        <v>182</v>
      </c>
    </row>
    <row r="4" spans="1:18" x14ac:dyDescent="0.3">
      <c r="A4" s="7">
        <v>31773</v>
      </c>
      <c r="B4" s="7" t="s">
        <v>27</v>
      </c>
      <c r="C4" s="7">
        <v>1575</v>
      </c>
      <c r="D4" s="7" t="s">
        <v>137</v>
      </c>
      <c r="E4" s="7" t="s">
        <v>29</v>
      </c>
      <c r="F4" s="7" t="s">
        <v>177</v>
      </c>
      <c r="G4" s="7" t="s">
        <v>30</v>
      </c>
      <c r="H4" s="7" t="s">
        <v>178</v>
      </c>
      <c r="I4" s="9">
        <v>46195</v>
      </c>
      <c r="J4" s="7" t="s">
        <v>32</v>
      </c>
      <c r="K4" s="5">
        <v>165.8</v>
      </c>
      <c r="M4" t="s">
        <v>172</v>
      </c>
      <c r="N4" t="s">
        <v>178</v>
      </c>
      <c r="O4" s="3">
        <v>46195</v>
      </c>
      <c r="P4">
        <v>333</v>
      </c>
      <c r="Q4">
        <v>160</v>
      </c>
      <c r="R4" t="s">
        <v>183</v>
      </c>
    </row>
    <row r="5" spans="1:18" x14ac:dyDescent="0.3">
      <c r="A5" s="7">
        <v>34108</v>
      </c>
      <c r="B5" s="7" t="s">
        <v>27</v>
      </c>
      <c r="C5" s="7">
        <v>1211</v>
      </c>
      <c r="D5" s="7" t="s">
        <v>184</v>
      </c>
      <c r="E5" s="7" t="s">
        <v>29</v>
      </c>
      <c r="F5" s="7" t="s">
        <v>106</v>
      </c>
      <c r="G5" s="7" t="s">
        <v>30</v>
      </c>
      <c r="H5" s="7" t="s">
        <v>178</v>
      </c>
      <c r="I5" s="9">
        <v>46195</v>
      </c>
      <c r="J5" s="7" t="s">
        <v>32</v>
      </c>
      <c r="K5" s="5">
        <v>215.8</v>
      </c>
      <c r="M5" t="s">
        <v>172</v>
      </c>
      <c r="N5" t="s">
        <v>36</v>
      </c>
      <c r="O5" s="3">
        <v>46196</v>
      </c>
      <c r="P5">
        <v>897</v>
      </c>
      <c r="Q5">
        <v>301</v>
      </c>
      <c r="R5" t="s">
        <v>185</v>
      </c>
    </row>
    <row r="6" spans="1:18" x14ac:dyDescent="0.3">
      <c r="A6" s="7">
        <v>38271</v>
      </c>
      <c r="B6" s="7" t="s">
        <v>27</v>
      </c>
      <c r="C6" s="7">
        <v>1575</v>
      </c>
      <c r="D6" s="7" t="s">
        <v>137</v>
      </c>
      <c r="E6" s="7" t="s">
        <v>29</v>
      </c>
      <c r="F6" s="7" t="s">
        <v>177</v>
      </c>
      <c r="G6" s="7" t="s">
        <v>30</v>
      </c>
      <c r="H6" s="7" t="s">
        <v>178</v>
      </c>
      <c r="I6" s="9">
        <v>46195</v>
      </c>
      <c r="J6" s="7" t="s">
        <v>34</v>
      </c>
      <c r="K6" s="5">
        <v>0</v>
      </c>
      <c r="M6" t="s">
        <v>172</v>
      </c>
      <c r="N6" t="s">
        <v>186</v>
      </c>
      <c r="O6" s="3">
        <v>46197</v>
      </c>
      <c r="P6">
        <v>370</v>
      </c>
      <c r="Q6">
        <v>183</v>
      </c>
      <c r="R6" t="s">
        <v>187</v>
      </c>
    </row>
    <row r="7" spans="1:18" x14ac:dyDescent="0.3">
      <c r="A7" s="7">
        <v>39696</v>
      </c>
      <c r="B7" s="7" t="s">
        <v>27</v>
      </c>
      <c r="C7" s="7">
        <v>1575</v>
      </c>
      <c r="D7" s="7" t="s">
        <v>137</v>
      </c>
      <c r="E7" s="7" t="s">
        <v>29</v>
      </c>
      <c r="F7" s="7" t="s">
        <v>177</v>
      </c>
      <c r="G7" s="7" t="s">
        <v>30</v>
      </c>
      <c r="H7" s="7" t="s">
        <v>178</v>
      </c>
      <c r="I7" s="9">
        <v>46195</v>
      </c>
      <c r="J7" s="7" t="s">
        <v>34</v>
      </c>
      <c r="K7" s="5">
        <v>0</v>
      </c>
      <c r="M7" t="s">
        <v>172</v>
      </c>
      <c r="N7" t="s">
        <v>188</v>
      </c>
      <c r="O7" s="3">
        <v>46198</v>
      </c>
      <c r="P7">
        <v>1164</v>
      </c>
      <c r="Q7">
        <v>812</v>
      </c>
      <c r="R7" t="s">
        <v>189</v>
      </c>
    </row>
    <row r="8" spans="1:18" x14ac:dyDescent="0.3">
      <c r="A8" s="7">
        <v>42764</v>
      </c>
      <c r="B8" s="7" t="s">
        <v>27</v>
      </c>
      <c r="C8" s="7">
        <v>1575</v>
      </c>
      <c r="D8" s="7" t="s">
        <v>137</v>
      </c>
      <c r="E8" s="7" t="s">
        <v>29</v>
      </c>
      <c r="F8" s="7" t="s">
        <v>177</v>
      </c>
      <c r="G8" s="7" t="s">
        <v>30</v>
      </c>
      <c r="H8" s="7" t="s">
        <v>178</v>
      </c>
      <c r="I8" s="9">
        <v>46195</v>
      </c>
      <c r="J8" s="7" t="s">
        <v>34</v>
      </c>
      <c r="K8" s="5">
        <v>0</v>
      </c>
      <c r="M8" t="s">
        <v>172</v>
      </c>
      <c r="N8" t="s">
        <v>188</v>
      </c>
      <c r="O8" s="3">
        <v>46199</v>
      </c>
      <c r="P8">
        <v>738</v>
      </c>
      <c r="Q8">
        <v>430</v>
      </c>
      <c r="R8" t="s">
        <v>190</v>
      </c>
    </row>
    <row r="9" spans="1:18" x14ac:dyDescent="0.3">
      <c r="A9" s="7">
        <v>39025</v>
      </c>
      <c r="B9" s="7" t="s">
        <v>27</v>
      </c>
      <c r="C9" s="7">
        <v>1575</v>
      </c>
      <c r="D9" s="7" t="s">
        <v>137</v>
      </c>
      <c r="E9" s="7" t="s">
        <v>29</v>
      </c>
      <c r="F9" s="7" t="s">
        <v>177</v>
      </c>
      <c r="G9" s="7" t="s">
        <v>30</v>
      </c>
      <c r="H9" s="7" t="s">
        <v>191</v>
      </c>
      <c r="I9" s="9">
        <v>46196</v>
      </c>
      <c r="J9" s="7" t="s">
        <v>34</v>
      </c>
      <c r="K9" s="5">
        <v>0</v>
      </c>
      <c r="M9" t="s">
        <v>172</v>
      </c>
      <c r="N9" t="s">
        <v>89</v>
      </c>
      <c r="O9" s="3">
        <v>46202</v>
      </c>
      <c r="P9">
        <v>77</v>
      </c>
      <c r="Q9">
        <v>31</v>
      </c>
      <c r="R9" t="s">
        <v>192</v>
      </c>
    </row>
    <row r="10" spans="1:18" x14ac:dyDescent="0.3">
      <c r="A10" s="7">
        <v>40089</v>
      </c>
      <c r="B10" s="7" t="s">
        <v>27</v>
      </c>
      <c r="C10" s="7">
        <v>9886</v>
      </c>
      <c r="D10" s="7" t="s">
        <v>193</v>
      </c>
      <c r="E10" s="7" t="s">
        <v>29</v>
      </c>
      <c r="F10" s="7" t="s">
        <v>107</v>
      </c>
      <c r="G10" s="7" t="s">
        <v>30</v>
      </c>
      <c r="H10" s="7" t="s">
        <v>191</v>
      </c>
      <c r="I10" s="9">
        <v>46196</v>
      </c>
      <c r="J10" s="7" t="s">
        <v>34</v>
      </c>
      <c r="K10" s="5">
        <v>0</v>
      </c>
      <c r="M10" t="s">
        <v>172</v>
      </c>
      <c r="N10" t="s">
        <v>194</v>
      </c>
      <c r="O10" s="3">
        <v>46203</v>
      </c>
      <c r="P10">
        <v>2441</v>
      </c>
      <c r="Q10">
        <v>880</v>
      </c>
      <c r="R10" t="s">
        <v>195</v>
      </c>
    </row>
    <row r="11" spans="1:18" x14ac:dyDescent="0.3">
      <c r="A11" s="7">
        <v>42866</v>
      </c>
      <c r="B11" s="7" t="s">
        <v>27</v>
      </c>
      <c r="C11" s="7">
        <v>6127</v>
      </c>
      <c r="D11" s="7" t="s">
        <v>41</v>
      </c>
      <c r="E11" s="7" t="s">
        <v>29</v>
      </c>
      <c r="F11" s="7" t="s">
        <v>109</v>
      </c>
      <c r="G11" s="7" t="s">
        <v>30</v>
      </c>
      <c r="H11" s="7" t="s">
        <v>191</v>
      </c>
      <c r="I11" s="9">
        <v>46196</v>
      </c>
      <c r="J11" s="7" t="s">
        <v>32</v>
      </c>
      <c r="K11" s="5">
        <v>926.80000000000007</v>
      </c>
      <c r="M11" t="s">
        <v>172</v>
      </c>
      <c r="N11" t="s">
        <v>98</v>
      </c>
      <c r="O11" s="3">
        <v>46203</v>
      </c>
      <c r="P11">
        <v>984</v>
      </c>
      <c r="Q11">
        <v>314</v>
      </c>
      <c r="R11" t="s">
        <v>196</v>
      </c>
    </row>
    <row r="12" spans="1:18" x14ac:dyDescent="0.3">
      <c r="A12" s="7">
        <v>2738</v>
      </c>
      <c r="B12" s="7" t="s">
        <v>27</v>
      </c>
      <c r="C12" s="7">
        <v>1596</v>
      </c>
      <c r="D12" s="7" t="s">
        <v>62</v>
      </c>
      <c r="E12" s="7" t="s">
        <v>29</v>
      </c>
      <c r="F12" s="7" t="s">
        <v>111</v>
      </c>
      <c r="G12" s="7" t="s">
        <v>30</v>
      </c>
      <c r="H12" s="7" t="s">
        <v>186</v>
      </c>
      <c r="I12" s="9">
        <v>46197</v>
      </c>
      <c r="J12" s="7" t="s">
        <v>34</v>
      </c>
      <c r="K12" s="5">
        <v>0</v>
      </c>
      <c r="M12" t="s">
        <v>172</v>
      </c>
      <c r="N12" t="s">
        <v>197</v>
      </c>
      <c r="O12" s="3">
        <v>46204</v>
      </c>
      <c r="P12">
        <v>1395</v>
      </c>
      <c r="Q12">
        <v>742</v>
      </c>
      <c r="R12" t="s">
        <v>198</v>
      </c>
    </row>
    <row r="13" spans="1:18" x14ac:dyDescent="0.3">
      <c r="A13" s="7">
        <v>2753</v>
      </c>
      <c r="B13" s="7" t="s">
        <v>27</v>
      </c>
      <c r="C13" s="7">
        <v>1518</v>
      </c>
      <c r="D13" s="7" t="s">
        <v>59</v>
      </c>
      <c r="E13" s="7" t="s">
        <v>48</v>
      </c>
      <c r="F13" s="7" t="s">
        <v>111</v>
      </c>
      <c r="G13" s="7" t="s">
        <v>56</v>
      </c>
      <c r="H13" s="7" t="s">
        <v>186</v>
      </c>
      <c r="I13" s="9">
        <v>46197</v>
      </c>
      <c r="J13" s="7" t="s">
        <v>34</v>
      </c>
      <c r="K13" s="5">
        <v>0</v>
      </c>
      <c r="M13" t="s">
        <v>172</v>
      </c>
      <c r="N13" t="s">
        <v>199</v>
      </c>
      <c r="O13" s="3">
        <v>46205</v>
      </c>
      <c r="P13">
        <v>963</v>
      </c>
      <c r="Q13">
        <v>406</v>
      </c>
      <c r="R13" t="s">
        <v>200</v>
      </c>
    </row>
    <row r="14" spans="1:18" x14ac:dyDescent="0.3">
      <c r="A14" s="7">
        <v>7862</v>
      </c>
      <c r="B14" s="7" t="s">
        <v>27</v>
      </c>
      <c r="C14" s="7">
        <v>9839</v>
      </c>
      <c r="D14" s="7" t="s">
        <v>69</v>
      </c>
      <c r="E14" s="7" t="s">
        <v>48</v>
      </c>
      <c r="F14" s="7" t="s">
        <v>110</v>
      </c>
      <c r="G14" s="7" t="s">
        <v>52</v>
      </c>
      <c r="H14" s="7" t="s">
        <v>186</v>
      </c>
      <c r="I14" s="9">
        <v>46197</v>
      </c>
      <c r="J14" s="7" t="s">
        <v>32</v>
      </c>
      <c r="K14" s="5">
        <v>427.46000000000004</v>
      </c>
      <c r="M14" t="s">
        <v>172</v>
      </c>
      <c r="N14" t="s">
        <v>178</v>
      </c>
      <c r="O14" s="3">
        <v>46206</v>
      </c>
      <c r="P14">
        <v>986</v>
      </c>
      <c r="Q14">
        <v>358</v>
      </c>
      <c r="R14" t="s">
        <v>201</v>
      </c>
    </row>
    <row r="15" spans="1:18" x14ac:dyDescent="0.3">
      <c r="A15" s="7">
        <v>15571</v>
      </c>
      <c r="B15" s="7" t="s">
        <v>27</v>
      </c>
      <c r="C15" s="7">
        <v>9937</v>
      </c>
      <c r="D15" s="7" t="s">
        <v>58</v>
      </c>
      <c r="E15" s="7" t="s">
        <v>48</v>
      </c>
      <c r="F15" s="7" t="s">
        <v>106</v>
      </c>
      <c r="G15" s="7" t="s">
        <v>54</v>
      </c>
      <c r="H15" s="7" t="s">
        <v>186</v>
      </c>
      <c r="I15" s="9">
        <v>46197</v>
      </c>
      <c r="J15" s="7" t="s">
        <v>32</v>
      </c>
      <c r="K15" s="5">
        <v>188.51</v>
      </c>
      <c r="M15" t="s">
        <v>172</v>
      </c>
      <c r="N15" t="s">
        <v>139</v>
      </c>
      <c r="O15" s="3">
        <v>46209</v>
      </c>
      <c r="P15">
        <v>904</v>
      </c>
      <c r="Q15">
        <v>328</v>
      </c>
      <c r="R15" t="s">
        <v>202</v>
      </c>
    </row>
    <row r="16" spans="1:18" x14ac:dyDescent="0.3">
      <c r="A16" s="7">
        <v>16379</v>
      </c>
      <c r="B16" s="7" t="s">
        <v>27</v>
      </c>
      <c r="C16" s="7">
        <v>9863</v>
      </c>
      <c r="D16" s="7" t="s">
        <v>60</v>
      </c>
      <c r="E16" s="7" t="s">
        <v>48</v>
      </c>
      <c r="F16" s="7" t="s">
        <v>110</v>
      </c>
      <c r="G16" s="7" t="s">
        <v>52</v>
      </c>
      <c r="H16" s="7" t="s">
        <v>186</v>
      </c>
      <c r="I16" s="9">
        <v>46197</v>
      </c>
      <c r="J16" s="7" t="s">
        <v>32</v>
      </c>
      <c r="K16" s="5">
        <v>497.53</v>
      </c>
      <c r="M16" t="s">
        <v>172</v>
      </c>
      <c r="N16" t="s">
        <v>130</v>
      </c>
      <c r="O16" s="3">
        <v>46209</v>
      </c>
      <c r="P16">
        <v>1436</v>
      </c>
      <c r="Q16">
        <v>628</v>
      </c>
      <c r="R16" t="s">
        <v>203</v>
      </c>
    </row>
    <row r="17" spans="1:18" x14ac:dyDescent="0.3">
      <c r="A17" s="7">
        <v>24553</v>
      </c>
      <c r="B17" s="7" t="s">
        <v>27</v>
      </c>
      <c r="C17" s="7">
        <v>1150</v>
      </c>
      <c r="D17" s="7" t="s">
        <v>67</v>
      </c>
      <c r="E17" s="7" t="s">
        <v>48</v>
      </c>
      <c r="F17" s="7" t="s">
        <v>111</v>
      </c>
      <c r="G17" s="7" t="s">
        <v>56</v>
      </c>
      <c r="H17" s="7" t="s">
        <v>186</v>
      </c>
      <c r="I17" s="9">
        <v>46197</v>
      </c>
      <c r="J17" s="7" t="s">
        <v>32</v>
      </c>
      <c r="K17" s="5">
        <v>561.78</v>
      </c>
      <c r="M17" t="s">
        <v>172</v>
      </c>
      <c r="N17" t="s">
        <v>148</v>
      </c>
      <c r="O17" s="3">
        <v>46210</v>
      </c>
      <c r="P17">
        <v>3561</v>
      </c>
      <c r="Q17">
        <v>1558</v>
      </c>
      <c r="R17" t="s">
        <v>204</v>
      </c>
    </row>
    <row r="18" spans="1:18" x14ac:dyDescent="0.3">
      <c r="A18" s="7">
        <v>27951</v>
      </c>
      <c r="B18" s="7" t="s">
        <v>27</v>
      </c>
      <c r="C18" s="7">
        <v>1217</v>
      </c>
      <c r="D18" s="7" t="s">
        <v>68</v>
      </c>
      <c r="E18" s="7" t="s">
        <v>48</v>
      </c>
      <c r="F18" s="7" t="s">
        <v>106</v>
      </c>
      <c r="G18" s="7" t="s">
        <v>54</v>
      </c>
      <c r="H18" s="7" t="s">
        <v>186</v>
      </c>
      <c r="I18" s="9">
        <v>46197</v>
      </c>
      <c r="J18" s="7" t="s">
        <v>32</v>
      </c>
      <c r="K18" s="5">
        <v>19380.599999999999</v>
      </c>
      <c r="M18" t="s">
        <v>172</v>
      </c>
      <c r="N18" t="s">
        <v>158</v>
      </c>
      <c r="O18" s="3">
        <v>46211</v>
      </c>
      <c r="P18">
        <v>1100</v>
      </c>
      <c r="Q18">
        <v>312</v>
      </c>
      <c r="R18" t="s">
        <v>205</v>
      </c>
    </row>
    <row r="19" spans="1:18" x14ac:dyDescent="0.3">
      <c r="A19" s="7">
        <v>28658</v>
      </c>
      <c r="B19" s="7" t="s">
        <v>27</v>
      </c>
      <c r="C19" s="7">
        <v>9937</v>
      </c>
      <c r="D19" s="7" t="s">
        <v>58</v>
      </c>
      <c r="E19" s="7" t="s">
        <v>48</v>
      </c>
      <c r="F19" s="7" t="s">
        <v>106</v>
      </c>
      <c r="G19" s="7" t="s">
        <v>54</v>
      </c>
      <c r="H19" s="7" t="s">
        <v>186</v>
      </c>
      <c r="I19" s="9">
        <v>46197</v>
      </c>
      <c r="J19" s="7" t="s">
        <v>34</v>
      </c>
      <c r="K19" s="5">
        <v>0</v>
      </c>
      <c r="M19" t="s">
        <v>172</v>
      </c>
      <c r="N19" t="s">
        <v>153</v>
      </c>
      <c r="O19" s="3">
        <v>46211</v>
      </c>
      <c r="P19">
        <v>1692</v>
      </c>
      <c r="Q19">
        <v>523</v>
      </c>
      <c r="R19" t="s">
        <v>206</v>
      </c>
    </row>
    <row r="20" spans="1:18" x14ac:dyDescent="0.3">
      <c r="A20" s="7">
        <v>31819</v>
      </c>
      <c r="B20" s="7" t="s">
        <v>27</v>
      </c>
      <c r="C20" s="7">
        <v>9937</v>
      </c>
      <c r="D20" s="7" t="s">
        <v>58</v>
      </c>
      <c r="E20" s="7" t="s">
        <v>48</v>
      </c>
      <c r="F20" s="7" t="s">
        <v>106</v>
      </c>
      <c r="G20" s="7" t="s">
        <v>54</v>
      </c>
      <c r="H20" s="7" t="s">
        <v>186</v>
      </c>
      <c r="I20" s="9">
        <v>46197</v>
      </c>
      <c r="J20" s="7" t="s">
        <v>34</v>
      </c>
      <c r="K20" s="5">
        <v>0</v>
      </c>
      <c r="M20" t="s">
        <v>172</v>
      </c>
      <c r="N20" t="s">
        <v>166</v>
      </c>
      <c r="O20" s="3">
        <v>46212</v>
      </c>
      <c r="P20">
        <v>1166</v>
      </c>
      <c r="Q20">
        <v>310</v>
      </c>
      <c r="R20" t="s">
        <v>207</v>
      </c>
    </row>
    <row r="21" spans="1:18" x14ac:dyDescent="0.3">
      <c r="A21" s="7">
        <v>33133</v>
      </c>
      <c r="B21" s="7" t="s">
        <v>27</v>
      </c>
      <c r="C21" s="7">
        <v>1234</v>
      </c>
      <c r="D21" s="7" t="s">
        <v>57</v>
      </c>
      <c r="E21" s="7" t="s">
        <v>48</v>
      </c>
      <c r="F21" s="7" t="s">
        <v>111</v>
      </c>
      <c r="G21" s="7" t="s">
        <v>56</v>
      </c>
      <c r="H21" s="7" t="s">
        <v>186</v>
      </c>
      <c r="I21" s="9">
        <v>46197</v>
      </c>
      <c r="J21" s="7" t="s">
        <v>32</v>
      </c>
      <c r="K21" s="5">
        <v>1474.3899999999999</v>
      </c>
      <c r="M21" t="s">
        <v>172</v>
      </c>
      <c r="N21" t="s">
        <v>172</v>
      </c>
      <c r="O21" s="3" t="s">
        <v>172</v>
      </c>
      <c r="P21" t="s">
        <v>172</v>
      </c>
      <c r="Q21" t="s">
        <v>172</v>
      </c>
      <c r="R21" t="s">
        <v>172</v>
      </c>
    </row>
    <row r="22" spans="1:18" x14ac:dyDescent="0.3">
      <c r="A22" s="7">
        <v>33273</v>
      </c>
      <c r="B22" s="7" t="s">
        <v>27</v>
      </c>
      <c r="C22" s="7">
        <v>1328</v>
      </c>
      <c r="D22" s="7" t="s">
        <v>51</v>
      </c>
      <c r="E22" s="7" t="s">
        <v>48</v>
      </c>
      <c r="F22" s="7" t="s">
        <v>110</v>
      </c>
      <c r="G22" s="7" t="s">
        <v>52</v>
      </c>
      <c r="H22" s="7" t="s">
        <v>186</v>
      </c>
      <c r="I22" s="9">
        <v>46197</v>
      </c>
      <c r="J22" s="7" t="s">
        <v>34</v>
      </c>
      <c r="K22" s="5">
        <v>0</v>
      </c>
      <c r="M22" t="s">
        <v>172</v>
      </c>
      <c r="N22" t="s">
        <v>172</v>
      </c>
      <c r="O22" s="3" t="s">
        <v>172</v>
      </c>
      <c r="P22" t="s">
        <v>172</v>
      </c>
      <c r="Q22" t="s">
        <v>172</v>
      </c>
      <c r="R22" t="s">
        <v>172</v>
      </c>
    </row>
    <row r="23" spans="1:18" x14ac:dyDescent="0.3">
      <c r="A23" s="7">
        <v>35805</v>
      </c>
      <c r="B23" s="7" t="s">
        <v>27</v>
      </c>
      <c r="C23" s="7">
        <v>1504</v>
      </c>
      <c r="D23" s="7" t="s">
        <v>47</v>
      </c>
      <c r="E23" s="7" t="s">
        <v>48</v>
      </c>
      <c r="F23" s="7" t="s">
        <v>107</v>
      </c>
      <c r="G23" s="7" t="s">
        <v>49</v>
      </c>
      <c r="H23" s="7" t="s">
        <v>186</v>
      </c>
      <c r="I23" s="9">
        <v>46197</v>
      </c>
      <c r="J23" s="7" t="s">
        <v>34</v>
      </c>
      <c r="K23" s="5">
        <v>0</v>
      </c>
      <c r="M23" t="s">
        <v>172</v>
      </c>
      <c r="N23" t="s">
        <v>172</v>
      </c>
      <c r="O23" s="3" t="s">
        <v>172</v>
      </c>
      <c r="P23" t="s">
        <v>172</v>
      </c>
      <c r="Q23" t="s">
        <v>172</v>
      </c>
      <c r="R23" t="s">
        <v>172</v>
      </c>
    </row>
    <row r="24" spans="1:18" x14ac:dyDescent="0.3">
      <c r="A24" s="7">
        <v>40618</v>
      </c>
      <c r="B24" s="7" t="s">
        <v>27</v>
      </c>
      <c r="C24" s="7">
        <v>1278</v>
      </c>
      <c r="D24" s="7" t="s">
        <v>66</v>
      </c>
      <c r="E24" s="7" t="s">
        <v>48</v>
      </c>
      <c r="F24" s="7" t="s">
        <v>111</v>
      </c>
      <c r="G24" s="7" t="s">
        <v>56</v>
      </c>
      <c r="H24" s="7" t="s">
        <v>186</v>
      </c>
      <c r="I24" s="9">
        <v>46197</v>
      </c>
      <c r="J24" s="7" t="s">
        <v>32</v>
      </c>
      <c r="K24" s="5">
        <v>797.04</v>
      </c>
      <c r="M24" t="s">
        <v>172</v>
      </c>
      <c r="N24" t="s">
        <v>172</v>
      </c>
      <c r="O24" s="3" t="s">
        <v>172</v>
      </c>
      <c r="P24" t="s">
        <v>172</v>
      </c>
      <c r="Q24" t="s">
        <v>172</v>
      </c>
      <c r="R24" t="s">
        <v>172</v>
      </c>
    </row>
    <row r="25" spans="1:18" x14ac:dyDescent="0.3">
      <c r="A25" s="7">
        <v>41838</v>
      </c>
      <c r="B25" s="7" t="s">
        <v>27</v>
      </c>
      <c r="C25" s="7">
        <v>1525</v>
      </c>
      <c r="D25" s="7" t="s">
        <v>53</v>
      </c>
      <c r="E25" s="7" t="s">
        <v>48</v>
      </c>
      <c r="F25" s="7" t="s">
        <v>106</v>
      </c>
      <c r="G25" s="7" t="s">
        <v>54</v>
      </c>
      <c r="H25" s="7" t="s">
        <v>186</v>
      </c>
      <c r="I25" s="9">
        <v>46197</v>
      </c>
      <c r="J25" s="7" t="s">
        <v>34</v>
      </c>
      <c r="K25" s="5">
        <v>0</v>
      </c>
      <c r="M25" t="s">
        <v>172</v>
      </c>
      <c r="N25" t="s">
        <v>172</v>
      </c>
      <c r="O25" s="3" t="s">
        <v>172</v>
      </c>
      <c r="P25" t="s">
        <v>172</v>
      </c>
      <c r="Q25" t="s">
        <v>172</v>
      </c>
      <c r="R25" t="s">
        <v>172</v>
      </c>
    </row>
    <row r="26" spans="1:18" x14ac:dyDescent="0.3">
      <c r="A26" s="7">
        <v>41914</v>
      </c>
      <c r="B26" s="7" t="s">
        <v>27</v>
      </c>
      <c r="C26" s="7">
        <v>1335</v>
      </c>
      <c r="D26" s="7" t="s">
        <v>70</v>
      </c>
      <c r="E26" s="7" t="s">
        <v>48</v>
      </c>
      <c r="F26" s="7" t="s">
        <v>110</v>
      </c>
      <c r="G26" s="7" t="s">
        <v>52</v>
      </c>
      <c r="H26" s="7" t="s">
        <v>186</v>
      </c>
      <c r="I26" s="9">
        <v>46197</v>
      </c>
      <c r="J26" s="7" t="s">
        <v>34</v>
      </c>
      <c r="K26" s="5">
        <v>414.5</v>
      </c>
      <c r="M26" t="s">
        <v>172</v>
      </c>
      <c r="N26" t="s">
        <v>172</v>
      </c>
      <c r="O26" s="3" t="s">
        <v>172</v>
      </c>
      <c r="P26" t="s">
        <v>172</v>
      </c>
      <c r="Q26" t="s">
        <v>172</v>
      </c>
      <c r="R26" t="s">
        <v>172</v>
      </c>
    </row>
    <row r="27" spans="1:18" x14ac:dyDescent="0.3">
      <c r="A27" s="7">
        <v>42415</v>
      </c>
      <c r="B27" s="7" t="s">
        <v>27</v>
      </c>
      <c r="C27" s="7">
        <v>9911</v>
      </c>
      <c r="D27" s="7" t="s">
        <v>65</v>
      </c>
      <c r="E27" s="7" t="s">
        <v>48</v>
      </c>
      <c r="F27" s="7" t="s">
        <v>110</v>
      </c>
      <c r="G27" s="7" t="s">
        <v>52</v>
      </c>
      <c r="H27" s="7" t="s">
        <v>186</v>
      </c>
      <c r="I27" s="9">
        <v>46197</v>
      </c>
      <c r="J27" s="7" t="s">
        <v>32</v>
      </c>
      <c r="K27" s="5">
        <v>190.97000000000003</v>
      </c>
      <c r="M27" t="s">
        <v>172</v>
      </c>
      <c r="N27" t="s">
        <v>172</v>
      </c>
      <c r="O27" s="3" t="s">
        <v>172</v>
      </c>
      <c r="P27" t="s">
        <v>172</v>
      </c>
      <c r="Q27" t="s">
        <v>172</v>
      </c>
      <c r="R27" t="s">
        <v>172</v>
      </c>
    </row>
    <row r="28" spans="1:18" x14ac:dyDescent="0.3">
      <c r="A28" s="7">
        <v>42440</v>
      </c>
      <c r="B28" s="7" t="s">
        <v>27</v>
      </c>
      <c r="C28" s="7">
        <v>1464</v>
      </c>
      <c r="D28" s="7" t="s">
        <v>64</v>
      </c>
      <c r="E28" s="7" t="s">
        <v>29</v>
      </c>
      <c r="F28" s="7" t="s">
        <v>110</v>
      </c>
      <c r="G28" s="7" t="s">
        <v>30</v>
      </c>
      <c r="H28" s="7" t="s">
        <v>186</v>
      </c>
      <c r="I28" s="9">
        <v>46197</v>
      </c>
      <c r="J28" s="7" t="s">
        <v>34</v>
      </c>
      <c r="K28" s="5">
        <v>0</v>
      </c>
      <c r="M28" t="s">
        <v>172</v>
      </c>
      <c r="N28" t="s">
        <v>172</v>
      </c>
      <c r="O28" s="3" t="s">
        <v>172</v>
      </c>
      <c r="P28" t="s">
        <v>172</v>
      </c>
      <c r="Q28" t="s">
        <v>172</v>
      </c>
      <c r="R28" t="s">
        <v>172</v>
      </c>
    </row>
    <row r="29" spans="1:18" x14ac:dyDescent="0.3">
      <c r="A29" s="7">
        <v>43289</v>
      </c>
      <c r="B29" s="7" t="s">
        <v>27</v>
      </c>
      <c r="C29" s="7">
        <v>1464</v>
      </c>
      <c r="D29" s="7" t="s">
        <v>64</v>
      </c>
      <c r="E29" s="7" t="s">
        <v>29</v>
      </c>
      <c r="F29" s="7" t="s">
        <v>110</v>
      </c>
      <c r="G29" s="7" t="s">
        <v>30</v>
      </c>
      <c r="H29" s="7" t="s">
        <v>186</v>
      </c>
      <c r="I29" s="9">
        <v>46197</v>
      </c>
      <c r="J29" s="7" t="s">
        <v>34</v>
      </c>
      <c r="K29" s="5">
        <v>0</v>
      </c>
      <c r="M29" t="s">
        <v>172</v>
      </c>
      <c r="N29" t="s">
        <v>172</v>
      </c>
      <c r="O29" s="3" t="s">
        <v>172</v>
      </c>
      <c r="P29" t="s">
        <v>172</v>
      </c>
      <c r="Q29" t="s">
        <v>172</v>
      </c>
      <c r="R29" t="s">
        <v>172</v>
      </c>
    </row>
    <row r="30" spans="1:18" x14ac:dyDescent="0.3">
      <c r="A30" s="7">
        <v>43676</v>
      </c>
      <c r="B30" s="7" t="s">
        <v>27</v>
      </c>
      <c r="C30" s="7">
        <v>9863</v>
      </c>
      <c r="D30" s="7" t="s">
        <v>60</v>
      </c>
      <c r="E30" s="7" t="s">
        <v>48</v>
      </c>
      <c r="F30" s="7" t="s">
        <v>110</v>
      </c>
      <c r="G30" s="7" t="s">
        <v>52</v>
      </c>
      <c r="H30" s="7" t="s">
        <v>186</v>
      </c>
      <c r="I30" s="9">
        <v>46197</v>
      </c>
      <c r="J30" s="7" t="s">
        <v>32</v>
      </c>
      <c r="K30" s="5">
        <v>718.19019999999978</v>
      </c>
      <c r="M30" t="s">
        <v>172</v>
      </c>
      <c r="N30" t="s">
        <v>172</v>
      </c>
      <c r="O30" s="3" t="s">
        <v>172</v>
      </c>
      <c r="P30" t="s">
        <v>172</v>
      </c>
      <c r="Q30" t="s">
        <v>172</v>
      </c>
      <c r="R30" t="s">
        <v>172</v>
      </c>
    </row>
    <row r="31" spans="1:18" x14ac:dyDescent="0.3">
      <c r="A31" s="7">
        <v>44751</v>
      </c>
      <c r="B31" s="7" t="s">
        <v>27</v>
      </c>
      <c r="C31" s="7">
        <v>9872</v>
      </c>
      <c r="D31" s="7" t="s">
        <v>61</v>
      </c>
      <c r="E31" s="7" t="s">
        <v>48</v>
      </c>
      <c r="F31" s="7" t="s">
        <v>110</v>
      </c>
      <c r="G31" s="7" t="s">
        <v>52</v>
      </c>
      <c r="H31" s="7" t="s">
        <v>186</v>
      </c>
      <c r="I31" s="9">
        <v>46197</v>
      </c>
      <c r="J31" s="7" t="s">
        <v>32</v>
      </c>
      <c r="K31" s="5">
        <v>1595.2</v>
      </c>
      <c r="M31" t="s">
        <v>172</v>
      </c>
      <c r="N31" t="s">
        <v>172</v>
      </c>
      <c r="O31" s="3" t="s">
        <v>172</v>
      </c>
      <c r="P31" t="s">
        <v>172</v>
      </c>
      <c r="Q31" t="s">
        <v>172</v>
      </c>
      <c r="R31" t="s">
        <v>172</v>
      </c>
    </row>
    <row r="32" spans="1:18" x14ac:dyDescent="0.3">
      <c r="A32" s="7">
        <v>45465</v>
      </c>
      <c r="B32" s="7" t="s">
        <v>27</v>
      </c>
      <c r="C32" s="7">
        <v>9872</v>
      </c>
      <c r="D32" s="7" t="s">
        <v>61</v>
      </c>
      <c r="E32" s="7" t="s">
        <v>48</v>
      </c>
      <c r="F32" s="7" t="s">
        <v>110</v>
      </c>
      <c r="G32" s="7" t="s">
        <v>52</v>
      </c>
      <c r="H32" s="7" t="s">
        <v>186</v>
      </c>
      <c r="I32" s="9">
        <v>46197</v>
      </c>
      <c r="J32" s="7" t="s">
        <v>32</v>
      </c>
      <c r="K32" s="5">
        <v>277.2</v>
      </c>
      <c r="M32" t="s">
        <v>172</v>
      </c>
      <c r="N32" t="s">
        <v>172</v>
      </c>
      <c r="O32" s="3" t="s">
        <v>172</v>
      </c>
      <c r="P32" t="s">
        <v>172</v>
      </c>
      <c r="Q32" t="s">
        <v>172</v>
      </c>
      <c r="R32" t="s">
        <v>172</v>
      </c>
    </row>
    <row r="33" spans="1:18" x14ac:dyDescent="0.3">
      <c r="A33" s="7">
        <v>45509</v>
      </c>
      <c r="B33" s="7" t="s">
        <v>27</v>
      </c>
      <c r="C33" s="7">
        <v>1581</v>
      </c>
      <c r="D33" s="7" t="s">
        <v>55</v>
      </c>
      <c r="E33" s="7" t="s">
        <v>48</v>
      </c>
      <c r="F33" s="7" t="s">
        <v>111</v>
      </c>
      <c r="G33" s="7" t="s">
        <v>56</v>
      </c>
      <c r="H33" s="7" t="s">
        <v>186</v>
      </c>
      <c r="I33" s="9">
        <v>46197</v>
      </c>
      <c r="J33" s="7" t="s">
        <v>32</v>
      </c>
      <c r="K33" s="5">
        <v>21.89</v>
      </c>
      <c r="M33" t="s">
        <v>172</v>
      </c>
      <c r="N33" t="s">
        <v>172</v>
      </c>
      <c r="O33" s="3" t="s">
        <v>172</v>
      </c>
      <c r="P33" t="s">
        <v>172</v>
      </c>
      <c r="Q33" t="s">
        <v>172</v>
      </c>
      <c r="R33" t="s">
        <v>172</v>
      </c>
    </row>
    <row r="34" spans="1:18" x14ac:dyDescent="0.3">
      <c r="A34" s="7">
        <v>26967</v>
      </c>
      <c r="B34" s="7" t="s">
        <v>27</v>
      </c>
      <c r="C34" s="7">
        <v>1575</v>
      </c>
      <c r="D34" s="7" t="s">
        <v>137</v>
      </c>
      <c r="E34" s="7" t="s">
        <v>29</v>
      </c>
      <c r="F34" s="7" t="s">
        <v>177</v>
      </c>
      <c r="G34" s="7" t="s">
        <v>30</v>
      </c>
      <c r="H34" s="7" t="s">
        <v>188</v>
      </c>
      <c r="I34" s="9">
        <v>46198</v>
      </c>
      <c r="J34" s="7" t="s">
        <v>34</v>
      </c>
      <c r="K34" s="5">
        <v>0</v>
      </c>
      <c r="M34" t="s">
        <v>172</v>
      </c>
      <c r="N34" t="s">
        <v>172</v>
      </c>
      <c r="O34" s="3" t="s">
        <v>172</v>
      </c>
      <c r="P34" t="s">
        <v>172</v>
      </c>
      <c r="Q34" t="s">
        <v>172</v>
      </c>
      <c r="R34" t="s">
        <v>172</v>
      </c>
    </row>
    <row r="35" spans="1:18" x14ac:dyDescent="0.3">
      <c r="A35" s="7">
        <v>30929</v>
      </c>
      <c r="B35" s="7" t="s">
        <v>27</v>
      </c>
      <c r="C35" s="7">
        <v>1464</v>
      </c>
      <c r="D35" s="7" t="s">
        <v>64</v>
      </c>
      <c r="E35" s="7" t="s">
        <v>29</v>
      </c>
      <c r="F35" s="7" t="s">
        <v>110</v>
      </c>
      <c r="G35" s="7" t="s">
        <v>30</v>
      </c>
      <c r="H35" s="7" t="s">
        <v>188</v>
      </c>
      <c r="I35" s="9">
        <v>46198</v>
      </c>
      <c r="J35" s="7" t="s">
        <v>32</v>
      </c>
      <c r="K35" s="5">
        <v>1258</v>
      </c>
      <c r="M35" t="s">
        <v>172</v>
      </c>
      <c r="N35" t="s">
        <v>172</v>
      </c>
      <c r="O35" s="3" t="s">
        <v>172</v>
      </c>
      <c r="P35" t="s">
        <v>172</v>
      </c>
      <c r="Q35" t="s">
        <v>172</v>
      </c>
      <c r="R35" t="s">
        <v>172</v>
      </c>
    </row>
    <row r="36" spans="1:18" x14ac:dyDescent="0.3">
      <c r="A36" s="7">
        <v>32156</v>
      </c>
      <c r="B36" s="7" t="s">
        <v>27</v>
      </c>
      <c r="C36" s="7">
        <v>1596</v>
      </c>
      <c r="D36" s="7" t="s">
        <v>62</v>
      </c>
      <c r="E36" s="7" t="s">
        <v>29</v>
      </c>
      <c r="F36" s="7" t="s">
        <v>111</v>
      </c>
      <c r="G36" s="7" t="s">
        <v>30</v>
      </c>
      <c r="H36" s="7" t="s">
        <v>188</v>
      </c>
      <c r="I36" s="9">
        <v>46198</v>
      </c>
      <c r="J36" s="7" t="s">
        <v>34</v>
      </c>
      <c r="K36" s="5">
        <v>0</v>
      </c>
      <c r="M36" t="s">
        <v>172</v>
      </c>
      <c r="N36" t="s">
        <v>172</v>
      </c>
      <c r="O36" s="3" t="s">
        <v>172</v>
      </c>
      <c r="P36" t="s">
        <v>172</v>
      </c>
      <c r="Q36" t="s">
        <v>172</v>
      </c>
      <c r="R36" t="s">
        <v>172</v>
      </c>
    </row>
    <row r="37" spans="1:18" x14ac:dyDescent="0.3">
      <c r="A37" s="7">
        <v>35940</v>
      </c>
      <c r="B37" s="7" t="s">
        <v>27</v>
      </c>
      <c r="C37" s="7">
        <v>9886</v>
      </c>
      <c r="D37" s="7" t="s">
        <v>193</v>
      </c>
      <c r="E37" s="7" t="s">
        <v>29</v>
      </c>
      <c r="F37" s="7" t="s">
        <v>107</v>
      </c>
      <c r="G37" s="7" t="s">
        <v>30</v>
      </c>
      <c r="H37" s="7" t="s">
        <v>188</v>
      </c>
      <c r="I37" s="9">
        <v>46198</v>
      </c>
      <c r="J37" s="7" t="s">
        <v>34</v>
      </c>
      <c r="K37" s="5">
        <v>0</v>
      </c>
      <c r="M37" t="s">
        <v>172</v>
      </c>
      <c r="N37" t="s">
        <v>172</v>
      </c>
      <c r="O37" s="3" t="s">
        <v>172</v>
      </c>
      <c r="P37" t="s">
        <v>172</v>
      </c>
      <c r="Q37" t="s">
        <v>172</v>
      </c>
      <c r="R37" t="s">
        <v>172</v>
      </c>
    </row>
    <row r="38" spans="1:18" x14ac:dyDescent="0.3">
      <c r="A38" s="7">
        <v>36147</v>
      </c>
      <c r="B38" s="7" t="s">
        <v>27</v>
      </c>
      <c r="C38" s="7">
        <v>1575</v>
      </c>
      <c r="D38" s="7" t="s">
        <v>137</v>
      </c>
      <c r="E38" s="7" t="s">
        <v>29</v>
      </c>
      <c r="F38" s="7" t="s">
        <v>177</v>
      </c>
      <c r="G38" s="7" t="s">
        <v>30</v>
      </c>
      <c r="H38" s="7" t="s">
        <v>188</v>
      </c>
      <c r="I38" s="9">
        <v>46198</v>
      </c>
      <c r="J38" s="7" t="s">
        <v>34</v>
      </c>
      <c r="K38" s="5">
        <v>0</v>
      </c>
      <c r="M38" t="s">
        <v>172</v>
      </c>
      <c r="N38" t="s">
        <v>172</v>
      </c>
      <c r="O38" s="3" t="s">
        <v>172</v>
      </c>
      <c r="P38" t="s">
        <v>172</v>
      </c>
      <c r="Q38" t="s">
        <v>172</v>
      </c>
      <c r="R38" t="s">
        <v>172</v>
      </c>
    </row>
    <row r="39" spans="1:18" x14ac:dyDescent="0.3">
      <c r="A39" s="7">
        <v>36248</v>
      </c>
      <c r="B39" s="7" t="s">
        <v>27</v>
      </c>
      <c r="C39" s="7">
        <v>1596</v>
      </c>
      <c r="D39" s="7" t="s">
        <v>62</v>
      </c>
      <c r="E39" s="7" t="s">
        <v>29</v>
      </c>
      <c r="F39" s="7" t="s">
        <v>111</v>
      </c>
      <c r="G39" s="7" t="s">
        <v>30</v>
      </c>
      <c r="H39" s="7" t="s">
        <v>188</v>
      </c>
      <c r="I39" s="9">
        <v>46198</v>
      </c>
      <c r="J39" s="7" t="s">
        <v>32</v>
      </c>
      <c r="K39" s="5">
        <v>264.39</v>
      </c>
      <c r="M39" t="s">
        <v>172</v>
      </c>
      <c r="N39" t="s">
        <v>172</v>
      </c>
      <c r="O39" s="3" t="s">
        <v>172</v>
      </c>
      <c r="P39" t="s">
        <v>172</v>
      </c>
      <c r="Q39" t="s">
        <v>172</v>
      </c>
      <c r="R39" t="s">
        <v>172</v>
      </c>
    </row>
    <row r="40" spans="1:18" x14ac:dyDescent="0.3">
      <c r="A40" s="7">
        <v>37820</v>
      </c>
      <c r="B40" s="7" t="s">
        <v>27</v>
      </c>
      <c r="C40" s="7">
        <v>1575</v>
      </c>
      <c r="D40" s="7" t="s">
        <v>137</v>
      </c>
      <c r="E40" s="7" t="s">
        <v>29</v>
      </c>
      <c r="F40" s="7" t="s">
        <v>177</v>
      </c>
      <c r="G40" s="7" t="s">
        <v>30</v>
      </c>
      <c r="H40" s="7" t="s">
        <v>188</v>
      </c>
      <c r="I40" s="9">
        <v>46198</v>
      </c>
      <c r="J40" s="7" t="s">
        <v>34</v>
      </c>
      <c r="K40" s="5">
        <v>0</v>
      </c>
      <c r="M40" t="s">
        <v>172</v>
      </c>
      <c r="N40" t="s">
        <v>172</v>
      </c>
      <c r="O40" s="3" t="s">
        <v>172</v>
      </c>
      <c r="P40" t="s">
        <v>172</v>
      </c>
      <c r="Q40" t="s">
        <v>172</v>
      </c>
      <c r="R40" t="s">
        <v>172</v>
      </c>
    </row>
    <row r="41" spans="1:18" x14ac:dyDescent="0.3">
      <c r="A41" s="7">
        <v>38288</v>
      </c>
      <c r="B41" s="7" t="s">
        <v>27</v>
      </c>
      <c r="C41" s="7">
        <v>9886</v>
      </c>
      <c r="D41" s="7" t="s">
        <v>193</v>
      </c>
      <c r="E41" s="7" t="s">
        <v>29</v>
      </c>
      <c r="F41" s="7" t="s">
        <v>107</v>
      </c>
      <c r="G41" s="7" t="s">
        <v>30</v>
      </c>
      <c r="H41" s="7" t="s">
        <v>188</v>
      </c>
      <c r="I41" s="9">
        <v>46198</v>
      </c>
      <c r="J41" s="7" t="s">
        <v>34</v>
      </c>
      <c r="K41" s="5">
        <v>0</v>
      </c>
      <c r="M41" t="s">
        <v>172</v>
      </c>
      <c r="N41" t="s">
        <v>172</v>
      </c>
      <c r="O41" s="3" t="s">
        <v>172</v>
      </c>
      <c r="P41" t="s">
        <v>172</v>
      </c>
      <c r="Q41" t="s">
        <v>172</v>
      </c>
      <c r="R41" t="s">
        <v>172</v>
      </c>
    </row>
    <row r="42" spans="1:18" x14ac:dyDescent="0.3">
      <c r="A42" s="7">
        <v>38434</v>
      </c>
      <c r="B42" s="7" t="s">
        <v>27</v>
      </c>
      <c r="C42" s="7">
        <v>1575</v>
      </c>
      <c r="D42" s="7" t="s">
        <v>137</v>
      </c>
      <c r="E42" s="7" t="s">
        <v>29</v>
      </c>
      <c r="F42" s="7" t="s">
        <v>177</v>
      </c>
      <c r="G42" s="7" t="s">
        <v>30</v>
      </c>
      <c r="H42" s="7" t="s">
        <v>188</v>
      </c>
      <c r="I42" s="9">
        <v>46198</v>
      </c>
      <c r="J42" s="7" t="s">
        <v>34</v>
      </c>
      <c r="K42" s="5">
        <v>0</v>
      </c>
      <c r="M42" t="s">
        <v>172</v>
      </c>
      <c r="N42" t="s">
        <v>172</v>
      </c>
      <c r="O42" s="3" t="s">
        <v>172</v>
      </c>
      <c r="P42" t="s">
        <v>172</v>
      </c>
      <c r="Q42" t="s">
        <v>172</v>
      </c>
      <c r="R42" t="s">
        <v>172</v>
      </c>
    </row>
    <row r="43" spans="1:18" x14ac:dyDescent="0.3">
      <c r="A43" s="7">
        <v>38579</v>
      </c>
      <c r="B43" s="7" t="s">
        <v>27</v>
      </c>
      <c r="C43" s="7">
        <v>1429</v>
      </c>
      <c r="D43" s="7" t="s">
        <v>208</v>
      </c>
      <c r="E43" s="7" t="s">
        <v>29</v>
      </c>
      <c r="F43" s="7" t="s">
        <v>177</v>
      </c>
      <c r="G43" s="7" t="s">
        <v>30</v>
      </c>
      <c r="H43" s="7" t="s">
        <v>188</v>
      </c>
      <c r="I43" s="9">
        <v>46198</v>
      </c>
      <c r="J43" s="7" t="s">
        <v>34</v>
      </c>
      <c r="K43" s="5">
        <v>0</v>
      </c>
      <c r="M43" t="s">
        <v>172</v>
      </c>
      <c r="N43" t="s">
        <v>172</v>
      </c>
      <c r="O43" s="3" t="s">
        <v>172</v>
      </c>
      <c r="P43" t="s">
        <v>172</v>
      </c>
      <c r="Q43" t="s">
        <v>172</v>
      </c>
      <c r="R43" t="s">
        <v>172</v>
      </c>
    </row>
    <row r="44" spans="1:18" x14ac:dyDescent="0.3">
      <c r="A44" s="7">
        <v>39168</v>
      </c>
      <c r="B44" s="7" t="s">
        <v>27</v>
      </c>
      <c r="C44" s="7">
        <v>1575</v>
      </c>
      <c r="D44" s="7" t="s">
        <v>137</v>
      </c>
      <c r="E44" s="7" t="s">
        <v>29</v>
      </c>
      <c r="F44" s="7" t="s">
        <v>177</v>
      </c>
      <c r="G44" s="7" t="s">
        <v>30</v>
      </c>
      <c r="H44" s="7" t="s">
        <v>188</v>
      </c>
      <c r="I44" s="9">
        <v>46198</v>
      </c>
      <c r="J44" s="7" t="s">
        <v>34</v>
      </c>
      <c r="K44" s="5">
        <v>0</v>
      </c>
      <c r="M44" t="s">
        <v>172</v>
      </c>
      <c r="N44" t="s">
        <v>172</v>
      </c>
      <c r="O44" s="3" t="s">
        <v>172</v>
      </c>
      <c r="P44" t="s">
        <v>172</v>
      </c>
      <c r="Q44" t="s">
        <v>172</v>
      </c>
      <c r="R44" t="s">
        <v>172</v>
      </c>
    </row>
    <row r="45" spans="1:18" x14ac:dyDescent="0.3">
      <c r="A45" s="7">
        <v>41199</v>
      </c>
      <c r="B45" s="7" t="s">
        <v>27</v>
      </c>
      <c r="C45" s="7">
        <v>1575</v>
      </c>
      <c r="D45" s="7" t="s">
        <v>137</v>
      </c>
      <c r="E45" s="7" t="s">
        <v>29</v>
      </c>
      <c r="F45" s="7" t="s">
        <v>177</v>
      </c>
      <c r="G45" s="7" t="s">
        <v>30</v>
      </c>
      <c r="H45" s="7" t="s">
        <v>188</v>
      </c>
      <c r="I45" s="9">
        <v>46198</v>
      </c>
      <c r="J45" s="7" t="s">
        <v>34</v>
      </c>
      <c r="K45" s="5">
        <v>0</v>
      </c>
      <c r="M45" t="s">
        <v>172</v>
      </c>
      <c r="N45" t="s">
        <v>172</v>
      </c>
      <c r="O45" s="3" t="s">
        <v>172</v>
      </c>
      <c r="P45" t="s">
        <v>172</v>
      </c>
      <c r="Q45" t="s">
        <v>172</v>
      </c>
      <c r="R45" t="s">
        <v>172</v>
      </c>
    </row>
    <row r="46" spans="1:18" x14ac:dyDescent="0.3">
      <c r="A46" s="7">
        <v>41371</v>
      </c>
      <c r="B46" s="7" t="s">
        <v>27</v>
      </c>
      <c r="C46" s="7">
        <v>1596</v>
      </c>
      <c r="D46" s="7" t="s">
        <v>62</v>
      </c>
      <c r="E46" s="7" t="s">
        <v>29</v>
      </c>
      <c r="F46" s="7" t="s">
        <v>111</v>
      </c>
      <c r="G46" s="7" t="s">
        <v>30</v>
      </c>
      <c r="H46" s="7" t="s">
        <v>188</v>
      </c>
      <c r="I46" s="9">
        <v>46198</v>
      </c>
      <c r="J46" s="7" t="s">
        <v>34</v>
      </c>
      <c r="K46" s="5">
        <v>0</v>
      </c>
      <c r="M46" t="s">
        <v>172</v>
      </c>
      <c r="N46" t="s">
        <v>172</v>
      </c>
      <c r="O46" s="3" t="s">
        <v>172</v>
      </c>
      <c r="P46" t="s">
        <v>172</v>
      </c>
      <c r="Q46" t="s">
        <v>172</v>
      </c>
      <c r="R46" t="s">
        <v>172</v>
      </c>
    </row>
    <row r="47" spans="1:18" x14ac:dyDescent="0.3">
      <c r="A47" s="7">
        <v>41723</v>
      </c>
      <c r="B47" s="7" t="s">
        <v>27</v>
      </c>
      <c r="C47" s="7">
        <v>1464</v>
      </c>
      <c r="D47" s="7" t="s">
        <v>64</v>
      </c>
      <c r="E47" s="7" t="s">
        <v>29</v>
      </c>
      <c r="F47" s="7" t="s">
        <v>110</v>
      </c>
      <c r="G47" s="7" t="s">
        <v>30</v>
      </c>
      <c r="H47" s="7" t="s">
        <v>188</v>
      </c>
      <c r="I47" s="9">
        <v>46198</v>
      </c>
      <c r="J47" s="7" t="s">
        <v>34</v>
      </c>
      <c r="K47" s="5">
        <v>0</v>
      </c>
      <c r="M47" t="s">
        <v>172</v>
      </c>
      <c r="N47" t="s">
        <v>172</v>
      </c>
      <c r="O47" s="3" t="s">
        <v>172</v>
      </c>
      <c r="P47" t="s">
        <v>172</v>
      </c>
      <c r="Q47" t="s">
        <v>172</v>
      </c>
      <c r="R47" t="s">
        <v>172</v>
      </c>
    </row>
    <row r="48" spans="1:18" x14ac:dyDescent="0.3">
      <c r="A48" s="7">
        <v>41854</v>
      </c>
      <c r="B48" s="7" t="s">
        <v>27</v>
      </c>
      <c r="C48" s="7">
        <v>1464</v>
      </c>
      <c r="D48" s="7" t="s">
        <v>64</v>
      </c>
      <c r="E48" s="7" t="s">
        <v>29</v>
      </c>
      <c r="F48" s="7" t="s">
        <v>110</v>
      </c>
      <c r="G48" s="7" t="s">
        <v>30</v>
      </c>
      <c r="H48" s="7" t="s">
        <v>188</v>
      </c>
      <c r="I48" s="9">
        <v>46198</v>
      </c>
      <c r="J48" s="7" t="s">
        <v>34</v>
      </c>
      <c r="K48" s="5">
        <v>0</v>
      </c>
      <c r="M48" t="s">
        <v>172</v>
      </c>
      <c r="N48" t="s">
        <v>172</v>
      </c>
      <c r="O48" s="3" t="s">
        <v>172</v>
      </c>
      <c r="P48" t="s">
        <v>172</v>
      </c>
      <c r="Q48" t="s">
        <v>172</v>
      </c>
      <c r="R48" t="s">
        <v>172</v>
      </c>
    </row>
    <row r="49" spans="1:18" x14ac:dyDescent="0.3">
      <c r="A49" s="7">
        <v>42136</v>
      </c>
      <c r="B49" s="7" t="s">
        <v>27</v>
      </c>
      <c r="C49" s="7">
        <v>1575</v>
      </c>
      <c r="D49" s="7" t="s">
        <v>137</v>
      </c>
      <c r="E49" s="7" t="s">
        <v>29</v>
      </c>
      <c r="F49" s="7" t="s">
        <v>177</v>
      </c>
      <c r="G49" s="7" t="s">
        <v>30</v>
      </c>
      <c r="H49" s="7" t="s">
        <v>188</v>
      </c>
      <c r="I49" s="9">
        <v>46198</v>
      </c>
      <c r="J49" s="7" t="s">
        <v>34</v>
      </c>
      <c r="K49" s="5">
        <v>0</v>
      </c>
      <c r="M49" t="s">
        <v>172</v>
      </c>
      <c r="N49" t="s">
        <v>172</v>
      </c>
      <c r="O49" s="3" t="s">
        <v>172</v>
      </c>
      <c r="P49" t="s">
        <v>172</v>
      </c>
      <c r="Q49" t="s">
        <v>172</v>
      </c>
      <c r="R49" t="s">
        <v>172</v>
      </c>
    </row>
    <row r="50" spans="1:18" x14ac:dyDescent="0.3">
      <c r="A50" s="7">
        <v>42416</v>
      </c>
      <c r="B50" s="7" t="s">
        <v>27</v>
      </c>
      <c r="C50" s="7">
        <v>1575</v>
      </c>
      <c r="D50" s="7" t="s">
        <v>137</v>
      </c>
      <c r="E50" s="7" t="s">
        <v>29</v>
      </c>
      <c r="F50" s="7" t="s">
        <v>177</v>
      </c>
      <c r="G50" s="7" t="s">
        <v>30</v>
      </c>
      <c r="H50" s="7" t="s">
        <v>188</v>
      </c>
      <c r="I50" s="9">
        <v>46198</v>
      </c>
      <c r="J50" s="7" t="s">
        <v>34</v>
      </c>
      <c r="K50" s="5">
        <v>0</v>
      </c>
      <c r="M50" t="s">
        <v>172</v>
      </c>
      <c r="N50" t="s">
        <v>172</v>
      </c>
      <c r="O50" s="3" t="s">
        <v>172</v>
      </c>
      <c r="P50" t="s">
        <v>172</v>
      </c>
      <c r="Q50" t="s">
        <v>172</v>
      </c>
      <c r="R50" t="s">
        <v>172</v>
      </c>
    </row>
    <row r="51" spans="1:18" x14ac:dyDescent="0.3">
      <c r="A51" s="7">
        <v>42586</v>
      </c>
      <c r="B51" s="7" t="s">
        <v>27</v>
      </c>
      <c r="C51" s="7">
        <v>1575</v>
      </c>
      <c r="D51" s="7" t="s">
        <v>137</v>
      </c>
      <c r="E51" s="7" t="s">
        <v>29</v>
      </c>
      <c r="F51" s="7" t="s">
        <v>177</v>
      </c>
      <c r="G51" s="7" t="s">
        <v>30</v>
      </c>
      <c r="H51" s="7" t="s">
        <v>188</v>
      </c>
      <c r="I51" s="9">
        <v>46198</v>
      </c>
      <c r="J51" s="7" t="s">
        <v>34</v>
      </c>
      <c r="K51" s="5">
        <v>0</v>
      </c>
      <c r="M51" t="s">
        <v>172</v>
      </c>
      <c r="N51" t="s">
        <v>172</v>
      </c>
      <c r="O51" s="3" t="s">
        <v>172</v>
      </c>
      <c r="P51" t="s">
        <v>172</v>
      </c>
      <c r="Q51" t="s">
        <v>172</v>
      </c>
      <c r="R51" t="s">
        <v>172</v>
      </c>
    </row>
    <row r="52" spans="1:18" x14ac:dyDescent="0.3">
      <c r="A52" s="7">
        <v>43680</v>
      </c>
      <c r="B52" s="7" t="s">
        <v>27</v>
      </c>
      <c r="C52" s="7">
        <v>1575</v>
      </c>
      <c r="D52" s="7" t="s">
        <v>137</v>
      </c>
      <c r="E52" s="7" t="s">
        <v>29</v>
      </c>
      <c r="F52" s="7" t="s">
        <v>177</v>
      </c>
      <c r="G52" s="7" t="s">
        <v>30</v>
      </c>
      <c r="H52" s="7" t="s">
        <v>188</v>
      </c>
      <c r="I52" s="9">
        <v>46198</v>
      </c>
      <c r="J52" s="7" t="s">
        <v>34</v>
      </c>
      <c r="K52" s="5">
        <v>0</v>
      </c>
      <c r="M52" t="s">
        <v>172</v>
      </c>
      <c r="N52" t="s">
        <v>172</v>
      </c>
      <c r="O52" s="3" t="s">
        <v>172</v>
      </c>
      <c r="P52" t="s">
        <v>172</v>
      </c>
      <c r="Q52" t="s">
        <v>172</v>
      </c>
      <c r="R52" t="s">
        <v>172</v>
      </c>
    </row>
    <row r="53" spans="1:18" x14ac:dyDescent="0.3">
      <c r="A53" s="7">
        <v>43770</v>
      </c>
      <c r="B53" s="7" t="s">
        <v>27</v>
      </c>
      <c r="C53" s="7">
        <v>1464</v>
      </c>
      <c r="D53" s="7" t="s">
        <v>64</v>
      </c>
      <c r="E53" s="7" t="s">
        <v>29</v>
      </c>
      <c r="F53" s="7" t="s">
        <v>110</v>
      </c>
      <c r="G53" s="7" t="s">
        <v>30</v>
      </c>
      <c r="H53" s="7" t="s">
        <v>188</v>
      </c>
      <c r="I53" s="9">
        <v>46198</v>
      </c>
      <c r="J53" s="7" t="s">
        <v>34</v>
      </c>
      <c r="K53" s="5">
        <v>0</v>
      </c>
      <c r="M53" t="s">
        <v>172</v>
      </c>
      <c r="N53" t="s">
        <v>172</v>
      </c>
      <c r="O53" s="3" t="s">
        <v>172</v>
      </c>
      <c r="P53" t="s">
        <v>172</v>
      </c>
      <c r="Q53" t="s">
        <v>172</v>
      </c>
      <c r="R53" t="s">
        <v>172</v>
      </c>
    </row>
    <row r="54" spans="1:18" x14ac:dyDescent="0.3">
      <c r="A54" s="7">
        <v>43777</v>
      </c>
      <c r="B54" s="7" t="s">
        <v>27</v>
      </c>
      <c r="C54" s="7">
        <v>1575</v>
      </c>
      <c r="D54" s="7" t="s">
        <v>137</v>
      </c>
      <c r="E54" s="7" t="s">
        <v>29</v>
      </c>
      <c r="F54" s="7" t="s">
        <v>177</v>
      </c>
      <c r="G54" s="7" t="s">
        <v>30</v>
      </c>
      <c r="H54" s="7" t="s">
        <v>188</v>
      </c>
      <c r="I54" s="9">
        <v>46198</v>
      </c>
      <c r="J54" s="7" t="s">
        <v>34</v>
      </c>
      <c r="K54" s="5">
        <v>0</v>
      </c>
      <c r="M54" t="s">
        <v>172</v>
      </c>
      <c r="N54" t="s">
        <v>172</v>
      </c>
      <c r="O54" s="3" t="s">
        <v>172</v>
      </c>
      <c r="P54" t="s">
        <v>172</v>
      </c>
      <c r="Q54" t="s">
        <v>172</v>
      </c>
      <c r="R54" t="s">
        <v>172</v>
      </c>
    </row>
    <row r="55" spans="1:18" x14ac:dyDescent="0.3">
      <c r="A55" s="7">
        <v>43959</v>
      </c>
      <c r="B55" s="7" t="s">
        <v>27</v>
      </c>
      <c r="C55" s="7">
        <v>1575</v>
      </c>
      <c r="D55" s="7" t="s">
        <v>137</v>
      </c>
      <c r="E55" s="7" t="s">
        <v>29</v>
      </c>
      <c r="F55" s="7" t="s">
        <v>177</v>
      </c>
      <c r="G55" s="7" t="s">
        <v>30</v>
      </c>
      <c r="H55" s="7" t="s">
        <v>188</v>
      </c>
      <c r="I55" s="9">
        <v>46198</v>
      </c>
      <c r="J55" s="7" t="s">
        <v>75</v>
      </c>
      <c r="K55" s="5">
        <v>0</v>
      </c>
      <c r="M55" t="s">
        <v>172</v>
      </c>
      <c r="N55" t="s">
        <v>172</v>
      </c>
      <c r="O55" s="3" t="s">
        <v>172</v>
      </c>
      <c r="P55" t="s">
        <v>172</v>
      </c>
      <c r="Q55" t="s">
        <v>172</v>
      </c>
      <c r="R55" t="s">
        <v>172</v>
      </c>
    </row>
    <row r="56" spans="1:18" x14ac:dyDescent="0.3">
      <c r="A56" s="7">
        <v>44393</v>
      </c>
      <c r="B56" s="7" t="s">
        <v>27</v>
      </c>
      <c r="C56" s="7">
        <v>1211</v>
      </c>
      <c r="D56" s="7" t="s">
        <v>184</v>
      </c>
      <c r="E56" s="7" t="s">
        <v>29</v>
      </c>
      <c r="F56" s="7" t="s">
        <v>106</v>
      </c>
      <c r="G56" s="7" t="s">
        <v>30</v>
      </c>
      <c r="H56" s="7" t="s">
        <v>188</v>
      </c>
      <c r="I56" s="9">
        <v>46198</v>
      </c>
      <c r="J56" s="7" t="s">
        <v>34</v>
      </c>
      <c r="K56" s="5">
        <v>0</v>
      </c>
      <c r="M56" t="s">
        <v>172</v>
      </c>
      <c r="N56" t="s">
        <v>172</v>
      </c>
      <c r="O56" s="3" t="s">
        <v>172</v>
      </c>
      <c r="P56" t="s">
        <v>172</v>
      </c>
      <c r="Q56" t="s">
        <v>172</v>
      </c>
      <c r="R56" t="s">
        <v>172</v>
      </c>
    </row>
    <row r="57" spans="1:18" x14ac:dyDescent="0.3">
      <c r="A57" s="7">
        <v>45001</v>
      </c>
      <c r="B57" s="7" t="s">
        <v>27</v>
      </c>
      <c r="C57" s="7">
        <v>1429</v>
      </c>
      <c r="D57" s="7" t="s">
        <v>208</v>
      </c>
      <c r="E57" s="7" t="s">
        <v>29</v>
      </c>
      <c r="F57" s="7" t="s">
        <v>177</v>
      </c>
      <c r="G57" s="7" t="s">
        <v>30</v>
      </c>
      <c r="H57" s="7" t="s">
        <v>188</v>
      </c>
      <c r="I57" s="9">
        <v>46198</v>
      </c>
      <c r="J57" s="7" t="s">
        <v>34</v>
      </c>
      <c r="K57" s="5">
        <v>0</v>
      </c>
      <c r="M57" t="s">
        <v>172</v>
      </c>
      <c r="N57" t="s">
        <v>172</v>
      </c>
      <c r="O57" s="3" t="s">
        <v>172</v>
      </c>
      <c r="P57" t="s">
        <v>172</v>
      </c>
      <c r="Q57" t="s">
        <v>172</v>
      </c>
      <c r="R57" t="s">
        <v>172</v>
      </c>
    </row>
    <row r="58" spans="1:18" x14ac:dyDescent="0.3">
      <c r="A58" s="7">
        <v>45016</v>
      </c>
      <c r="B58" s="7" t="s">
        <v>27</v>
      </c>
      <c r="C58" s="7">
        <v>1596</v>
      </c>
      <c r="D58" s="7" t="s">
        <v>62</v>
      </c>
      <c r="E58" s="7" t="s">
        <v>29</v>
      </c>
      <c r="F58" s="7" t="s">
        <v>111</v>
      </c>
      <c r="G58" s="7" t="s">
        <v>30</v>
      </c>
      <c r="H58" s="7" t="s">
        <v>188</v>
      </c>
      <c r="I58" s="9">
        <v>46198</v>
      </c>
      <c r="J58" s="7" t="s">
        <v>34</v>
      </c>
      <c r="K58" s="5">
        <v>0</v>
      </c>
      <c r="M58" t="s">
        <v>172</v>
      </c>
      <c r="N58" t="s">
        <v>172</v>
      </c>
      <c r="O58" s="3" t="s">
        <v>172</v>
      </c>
      <c r="P58" t="s">
        <v>172</v>
      </c>
      <c r="Q58" t="s">
        <v>172</v>
      </c>
      <c r="R58" t="s">
        <v>172</v>
      </c>
    </row>
    <row r="59" spans="1:18" x14ac:dyDescent="0.3">
      <c r="A59" s="7">
        <v>45126</v>
      </c>
      <c r="B59" s="7" t="s">
        <v>27</v>
      </c>
      <c r="C59" s="7">
        <v>1211</v>
      </c>
      <c r="D59" s="7" t="s">
        <v>184</v>
      </c>
      <c r="E59" s="7" t="s">
        <v>29</v>
      </c>
      <c r="F59" s="7" t="s">
        <v>106</v>
      </c>
      <c r="G59" s="7" t="s">
        <v>30</v>
      </c>
      <c r="H59" s="7" t="s">
        <v>188</v>
      </c>
      <c r="I59" s="9">
        <v>46198</v>
      </c>
      <c r="J59" s="7" t="s">
        <v>34</v>
      </c>
      <c r="K59" s="5">
        <v>0</v>
      </c>
      <c r="M59" t="s">
        <v>172</v>
      </c>
      <c r="N59" t="s">
        <v>172</v>
      </c>
      <c r="O59" s="3" t="s">
        <v>172</v>
      </c>
      <c r="P59" t="s">
        <v>172</v>
      </c>
      <c r="Q59" t="s">
        <v>172</v>
      </c>
      <c r="R59" t="s">
        <v>172</v>
      </c>
    </row>
    <row r="60" spans="1:18" x14ac:dyDescent="0.3">
      <c r="A60" s="7">
        <v>45284</v>
      </c>
      <c r="B60" s="7" t="s">
        <v>27</v>
      </c>
      <c r="C60" s="7">
        <v>1429</v>
      </c>
      <c r="D60" s="7" t="s">
        <v>208</v>
      </c>
      <c r="E60" s="7" t="s">
        <v>29</v>
      </c>
      <c r="F60" s="7" t="s">
        <v>177</v>
      </c>
      <c r="G60" s="7" t="s">
        <v>30</v>
      </c>
      <c r="H60" s="7" t="s">
        <v>188</v>
      </c>
      <c r="I60" s="9">
        <v>46198</v>
      </c>
      <c r="J60" s="7" t="s">
        <v>34</v>
      </c>
      <c r="K60" s="5">
        <v>0</v>
      </c>
      <c r="M60" t="s">
        <v>172</v>
      </c>
      <c r="N60" t="s">
        <v>172</v>
      </c>
      <c r="O60" s="3" t="s">
        <v>172</v>
      </c>
      <c r="P60" t="s">
        <v>172</v>
      </c>
      <c r="Q60" t="s">
        <v>172</v>
      </c>
      <c r="R60" t="s">
        <v>172</v>
      </c>
    </row>
    <row r="61" spans="1:18" x14ac:dyDescent="0.3">
      <c r="A61" s="7" t="s">
        <v>77</v>
      </c>
      <c r="B61" s="7" t="s">
        <v>27</v>
      </c>
      <c r="C61" s="7">
        <v>1575</v>
      </c>
      <c r="D61" s="7" t="s">
        <v>137</v>
      </c>
      <c r="E61" s="7" t="s">
        <v>29</v>
      </c>
      <c r="F61" s="7" t="s">
        <v>177</v>
      </c>
      <c r="G61" s="7" t="s">
        <v>30</v>
      </c>
      <c r="H61" s="7" t="s">
        <v>188</v>
      </c>
      <c r="I61" s="9">
        <v>46198</v>
      </c>
      <c r="J61" s="7" t="s">
        <v>34</v>
      </c>
      <c r="K61" s="5">
        <v>0</v>
      </c>
      <c r="M61" t="s">
        <v>172</v>
      </c>
      <c r="N61" t="s">
        <v>172</v>
      </c>
      <c r="O61" s="3" t="s">
        <v>172</v>
      </c>
      <c r="P61" t="s">
        <v>172</v>
      </c>
      <c r="Q61" t="s">
        <v>172</v>
      </c>
      <c r="R61" t="s">
        <v>172</v>
      </c>
    </row>
    <row r="62" spans="1:18" x14ac:dyDescent="0.3">
      <c r="A62" s="7" t="s">
        <v>76</v>
      </c>
      <c r="B62" s="7" t="s">
        <v>27</v>
      </c>
      <c r="C62" s="7">
        <v>1575</v>
      </c>
      <c r="D62" s="7" t="s">
        <v>137</v>
      </c>
      <c r="E62" s="7" t="s">
        <v>29</v>
      </c>
      <c r="F62" s="7" t="s">
        <v>177</v>
      </c>
      <c r="G62" s="7" t="s">
        <v>30</v>
      </c>
      <c r="H62" s="7" t="s">
        <v>188</v>
      </c>
      <c r="I62" s="9">
        <v>46198</v>
      </c>
      <c r="J62" s="7" t="s">
        <v>34</v>
      </c>
      <c r="K62" s="5">
        <v>0</v>
      </c>
      <c r="M62" t="s">
        <v>172</v>
      </c>
      <c r="N62" t="s">
        <v>172</v>
      </c>
      <c r="O62" s="3" t="s">
        <v>172</v>
      </c>
      <c r="P62" t="s">
        <v>172</v>
      </c>
      <c r="Q62" t="s">
        <v>172</v>
      </c>
      <c r="R62" t="s">
        <v>172</v>
      </c>
    </row>
    <row r="63" spans="1:18" x14ac:dyDescent="0.3">
      <c r="A63" s="7">
        <v>727</v>
      </c>
      <c r="B63" s="7" t="s">
        <v>27</v>
      </c>
      <c r="C63" s="7">
        <v>1623</v>
      </c>
      <c r="D63" s="7" t="s">
        <v>81</v>
      </c>
      <c r="E63" s="7" t="s">
        <v>48</v>
      </c>
      <c r="F63" s="7" t="s">
        <v>106</v>
      </c>
      <c r="G63" s="7" t="s">
        <v>54</v>
      </c>
      <c r="H63" s="7" t="s">
        <v>188</v>
      </c>
      <c r="I63" s="9">
        <v>46199</v>
      </c>
      <c r="J63" s="7" t="s">
        <v>32</v>
      </c>
      <c r="K63" s="5">
        <v>491.6</v>
      </c>
      <c r="M63" t="s">
        <v>172</v>
      </c>
      <c r="N63" t="s">
        <v>172</v>
      </c>
      <c r="O63" s="3" t="s">
        <v>172</v>
      </c>
      <c r="P63" t="s">
        <v>172</v>
      </c>
      <c r="Q63" t="s">
        <v>172</v>
      </c>
      <c r="R63" t="s">
        <v>172</v>
      </c>
    </row>
    <row r="64" spans="1:18" x14ac:dyDescent="0.3">
      <c r="A64" s="7">
        <v>25029</v>
      </c>
      <c r="B64" s="7" t="s">
        <v>27</v>
      </c>
      <c r="C64" s="7">
        <v>9863</v>
      </c>
      <c r="D64" s="7" t="s">
        <v>60</v>
      </c>
      <c r="E64" s="7" t="s">
        <v>48</v>
      </c>
      <c r="F64" s="7" t="s">
        <v>110</v>
      </c>
      <c r="G64" s="7" t="s">
        <v>52</v>
      </c>
      <c r="H64" s="7" t="s">
        <v>188</v>
      </c>
      <c r="I64" s="9">
        <v>46199</v>
      </c>
      <c r="J64" s="7" t="s">
        <v>32</v>
      </c>
      <c r="K64" s="5">
        <v>755.38</v>
      </c>
      <c r="M64" t="s">
        <v>172</v>
      </c>
      <c r="N64" t="s">
        <v>172</v>
      </c>
      <c r="O64" s="3" t="s">
        <v>172</v>
      </c>
      <c r="P64" t="s">
        <v>172</v>
      </c>
      <c r="Q64" t="s">
        <v>172</v>
      </c>
      <c r="R64" t="s">
        <v>172</v>
      </c>
    </row>
    <row r="65" spans="1:18" x14ac:dyDescent="0.3">
      <c r="A65" s="7">
        <v>25562</v>
      </c>
      <c r="B65" s="7" t="s">
        <v>27</v>
      </c>
      <c r="C65" s="7">
        <v>1211</v>
      </c>
      <c r="D65" s="7" t="s">
        <v>184</v>
      </c>
      <c r="E65" s="7" t="s">
        <v>29</v>
      </c>
      <c r="F65" s="7" t="s">
        <v>106</v>
      </c>
      <c r="G65" s="7" t="s">
        <v>30</v>
      </c>
      <c r="H65" s="7" t="s">
        <v>188</v>
      </c>
      <c r="I65" s="9">
        <v>46199</v>
      </c>
      <c r="J65" s="7" t="s">
        <v>32</v>
      </c>
      <c r="K65" s="5">
        <v>516.51</v>
      </c>
      <c r="M65" t="s">
        <v>172</v>
      </c>
      <c r="N65" t="s">
        <v>172</v>
      </c>
      <c r="O65" s="3" t="s">
        <v>172</v>
      </c>
      <c r="P65" t="s">
        <v>172</v>
      </c>
      <c r="Q65" t="s">
        <v>172</v>
      </c>
      <c r="R65" t="s">
        <v>172</v>
      </c>
    </row>
    <row r="66" spans="1:18" x14ac:dyDescent="0.3">
      <c r="A66" s="7">
        <v>28212</v>
      </c>
      <c r="B66" s="7" t="s">
        <v>27</v>
      </c>
      <c r="C66" s="7">
        <v>9808</v>
      </c>
      <c r="D66" s="7" t="s">
        <v>83</v>
      </c>
      <c r="E66" s="7" t="s">
        <v>48</v>
      </c>
      <c r="F66" s="7" t="s">
        <v>110</v>
      </c>
      <c r="G66" s="7" t="s">
        <v>52</v>
      </c>
      <c r="H66" s="7" t="s">
        <v>188</v>
      </c>
      <c r="I66" s="9">
        <v>46199</v>
      </c>
      <c r="J66" s="7" t="s">
        <v>34</v>
      </c>
      <c r="K66" s="5">
        <v>0</v>
      </c>
      <c r="M66" t="s">
        <v>172</v>
      </c>
      <c r="N66" t="s">
        <v>172</v>
      </c>
      <c r="O66" s="3" t="s">
        <v>172</v>
      </c>
      <c r="P66" t="s">
        <v>172</v>
      </c>
      <c r="Q66" t="s">
        <v>172</v>
      </c>
      <c r="R66" t="s">
        <v>172</v>
      </c>
    </row>
    <row r="67" spans="1:18" x14ac:dyDescent="0.3">
      <c r="A67" s="7">
        <v>34654</v>
      </c>
      <c r="B67" s="7" t="s">
        <v>27</v>
      </c>
      <c r="C67" s="7">
        <v>9911</v>
      </c>
      <c r="D67" s="7" t="s">
        <v>65</v>
      </c>
      <c r="E67" s="7" t="s">
        <v>48</v>
      </c>
      <c r="F67" s="7" t="s">
        <v>110</v>
      </c>
      <c r="G67" s="7" t="s">
        <v>52</v>
      </c>
      <c r="H67" s="7" t="s">
        <v>188</v>
      </c>
      <c r="I67" s="9">
        <v>46199</v>
      </c>
      <c r="J67" s="7" t="s">
        <v>34</v>
      </c>
      <c r="K67" s="5">
        <v>0</v>
      </c>
      <c r="M67" t="s">
        <v>172</v>
      </c>
      <c r="N67" t="s">
        <v>172</v>
      </c>
      <c r="O67" s="3" t="s">
        <v>172</v>
      </c>
      <c r="P67" t="s">
        <v>172</v>
      </c>
      <c r="Q67" t="s">
        <v>172</v>
      </c>
      <c r="R67" t="s">
        <v>172</v>
      </c>
    </row>
    <row r="68" spans="1:18" x14ac:dyDescent="0.3">
      <c r="A68" s="7">
        <v>36209</v>
      </c>
      <c r="B68" s="7" t="s">
        <v>27</v>
      </c>
      <c r="C68" s="7">
        <v>1234</v>
      </c>
      <c r="D68" s="7" t="s">
        <v>57</v>
      </c>
      <c r="E68" s="7" t="s">
        <v>48</v>
      </c>
      <c r="F68" s="7" t="s">
        <v>111</v>
      </c>
      <c r="G68" s="7" t="s">
        <v>56</v>
      </c>
      <c r="H68" s="7" t="s">
        <v>188</v>
      </c>
      <c r="I68" s="9">
        <v>46199</v>
      </c>
      <c r="J68" s="7" t="s">
        <v>34</v>
      </c>
      <c r="K68" s="5">
        <v>0</v>
      </c>
      <c r="M68" t="s">
        <v>172</v>
      </c>
      <c r="N68" t="s">
        <v>172</v>
      </c>
      <c r="O68" s="3" t="s">
        <v>172</v>
      </c>
      <c r="P68" t="s">
        <v>172</v>
      </c>
      <c r="Q68" t="s">
        <v>172</v>
      </c>
      <c r="R68" t="s">
        <v>172</v>
      </c>
    </row>
    <row r="69" spans="1:18" x14ac:dyDescent="0.3">
      <c r="A69" s="7">
        <v>37478</v>
      </c>
      <c r="B69" s="7" t="s">
        <v>27</v>
      </c>
      <c r="C69" s="7">
        <v>1450</v>
      </c>
      <c r="D69" s="7" t="s">
        <v>84</v>
      </c>
      <c r="E69" s="7" t="s">
        <v>48</v>
      </c>
      <c r="F69" s="7" t="s">
        <v>107</v>
      </c>
      <c r="G69" s="7" t="s">
        <v>49</v>
      </c>
      <c r="H69" s="7" t="s">
        <v>188</v>
      </c>
      <c r="I69" s="9">
        <v>46199</v>
      </c>
      <c r="J69" s="7" t="s">
        <v>32</v>
      </c>
      <c r="K69" s="5">
        <v>329.55</v>
      </c>
      <c r="M69" t="s">
        <v>172</v>
      </c>
      <c r="N69" t="s">
        <v>172</v>
      </c>
      <c r="O69" s="3" t="s">
        <v>172</v>
      </c>
      <c r="P69" t="s">
        <v>172</v>
      </c>
      <c r="Q69" t="s">
        <v>172</v>
      </c>
      <c r="R69" t="s">
        <v>172</v>
      </c>
    </row>
    <row r="70" spans="1:18" x14ac:dyDescent="0.3">
      <c r="A70" s="7">
        <v>37952</v>
      </c>
      <c r="B70" s="7" t="s">
        <v>27</v>
      </c>
      <c r="C70" s="7">
        <v>1278</v>
      </c>
      <c r="D70" s="7" t="s">
        <v>66</v>
      </c>
      <c r="E70" s="7" t="s">
        <v>48</v>
      </c>
      <c r="F70" s="7" t="s">
        <v>111</v>
      </c>
      <c r="G70" s="7" t="s">
        <v>56</v>
      </c>
      <c r="H70" s="7" t="s">
        <v>188</v>
      </c>
      <c r="I70" s="9">
        <v>46199</v>
      </c>
      <c r="J70" s="7" t="s">
        <v>34</v>
      </c>
      <c r="K70" s="5">
        <v>0</v>
      </c>
      <c r="M70" t="s">
        <v>172</v>
      </c>
      <c r="N70" t="s">
        <v>172</v>
      </c>
      <c r="O70" s="3" t="s">
        <v>172</v>
      </c>
      <c r="P70" t="s">
        <v>172</v>
      </c>
      <c r="Q70" t="s">
        <v>172</v>
      </c>
      <c r="R70" t="s">
        <v>172</v>
      </c>
    </row>
    <row r="71" spans="1:18" x14ac:dyDescent="0.3">
      <c r="A71" s="7">
        <v>38462</v>
      </c>
      <c r="B71" s="7" t="s">
        <v>27</v>
      </c>
      <c r="C71" s="7">
        <v>9863</v>
      </c>
      <c r="D71" s="7" t="s">
        <v>60</v>
      </c>
      <c r="E71" s="7" t="s">
        <v>48</v>
      </c>
      <c r="F71" s="7" t="s">
        <v>110</v>
      </c>
      <c r="G71" s="7" t="s">
        <v>52</v>
      </c>
      <c r="H71" s="7" t="s">
        <v>188</v>
      </c>
      <c r="I71" s="9">
        <v>46199</v>
      </c>
      <c r="J71" s="7" t="s">
        <v>32</v>
      </c>
      <c r="K71" s="5">
        <v>225.95</v>
      </c>
      <c r="M71" t="s">
        <v>172</v>
      </c>
      <c r="N71" t="s">
        <v>172</v>
      </c>
      <c r="O71" s="3" t="s">
        <v>172</v>
      </c>
      <c r="P71" t="s">
        <v>172</v>
      </c>
      <c r="Q71" t="s">
        <v>172</v>
      </c>
      <c r="R71" t="s">
        <v>172</v>
      </c>
    </row>
    <row r="72" spans="1:18" x14ac:dyDescent="0.3">
      <c r="A72" s="7">
        <v>39712</v>
      </c>
      <c r="B72" s="7" t="s">
        <v>27</v>
      </c>
      <c r="C72" s="7">
        <v>9872</v>
      </c>
      <c r="D72" s="7" t="s">
        <v>61</v>
      </c>
      <c r="E72" s="7" t="s">
        <v>48</v>
      </c>
      <c r="F72" s="7" t="s">
        <v>110</v>
      </c>
      <c r="G72" s="7" t="s">
        <v>52</v>
      </c>
      <c r="H72" s="7" t="s">
        <v>188</v>
      </c>
      <c r="I72" s="9">
        <v>46199</v>
      </c>
      <c r="J72" s="7" t="s">
        <v>32</v>
      </c>
      <c r="K72" s="5">
        <v>265.36</v>
      </c>
      <c r="M72" t="s">
        <v>172</v>
      </c>
      <c r="N72" t="s">
        <v>172</v>
      </c>
      <c r="O72" s="3" t="s">
        <v>172</v>
      </c>
      <c r="P72" t="s">
        <v>172</v>
      </c>
      <c r="Q72" t="s">
        <v>172</v>
      </c>
      <c r="R72" t="s">
        <v>172</v>
      </c>
    </row>
    <row r="73" spans="1:18" x14ac:dyDescent="0.3">
      <c r="A73" s="7">
        <v>39756</v>
      </c>
      <c r="B73" s="7" t="s">
        <v>27</v>
      </c>
      <c r="C73" s="7">
        <v>1596</v>
      </c>
      <c r="D73" s="7" t="s">
        <v>62</v>
      </c>
      <c r="E73" s="7" t="s">
        <v>29</v>
      </c>
      <c r="F73" s="7" t="s">
        <v>111</v>
      </c>
      <c r="G73" s="7" t="s">
        <v>30</v>
      </c>
      <c r="H73" s="7" t="s">
        <v>188</v>
      </c>
      <c r="I73" s="9">
        <v>46199</v>
      </c>
      <c r="J73" s="7" t="s">
        <v>34</v>
      </c>
      <c r="K73" s="5">
        <v>0</v>
      </c>
      <c r="M73" t="s">
        <v>172</v>
      </c>
      <c r="N73" t="s">
        <v>172</v>
      </c>
      <c r="O73" s="3" t="s">
        <v>172</v>
      </c>
      <c r="P73" t="s">
        <v>172</v>
      </c>
      <c r="Q73" t="s">
        <v>172</v>
      </c>
      <c r="R73" t="s">
        <v>172</v>
      </c>
    </row>
    <row r="74" spans="1:18" x14ac:dyDescent="0.3">
      <c r="A74" s="7">
        <v>41569</v>
      </c>
      <c r="B74" s="7" t="s">
        <v>27</v>
      </c>
      <c r="C74" s="7">
        <v>1500</v>
      </c>
      <c r="D74" s="7" t="s">
        <v>87</v>
      </c>
      <c r="E74" s="7" t="s">
        <v>48</v>
      </c>
      <c r="F74" s="7" t="s">
        <v>110</v>
      </c>
      <c r="G74" s="7" t="s">
        <v>52</v>
      </c>
      <c r="H74" s="7" t="s">
        <v>188</v>
      </c>
      <c r="I74" s="9">
        <v>46199</v>
      </c>
      <c r="J74" s="7" t="s">
        <v>34</v>
      </c>
      <c r="K74" s="5">
        <v>0</v>
      </c>
      <c r="M74" t="s">
        <v>172</v>
      </c>
      <c r="N74" t="s">
        <v>172</v>
      </c>
      <c r="O74" s="3" t="s">
        <v>172</v>
      </c>
      <c r="P74" t="s">
        <v>172</v>
      </c>
      <c r="Q74" t="s">
        <v>172</v>
      </c>
      <c r="R74" t="s">
        <v>172</v>
      </c>
    </row>
    <row r="75" spans="1:18" x14ac:dyDescent="0.3">
      <c r="A75" s="7">
        <v>41788</v>
      </c>
      <c r="B75" s="7" t="s">
        <v>27</v>
      </c>
      <c r="C75" s="7">
        <v>1211</v>
      </c>
      <c r="D75" s="7" t="s">
        <v>184</v>
      </c>
      <c r="E75" s="7" t="s">
        <v>29</v>
      </c>
      <c r="F75" s="7" t="s">
        <v>106</v>
      </c>
      <c r="G75" s="7" t="s">
        <v>30</v>
      </c>
      <c r="H75" s="7" t="s">
        <v>188</v>
      </c>
      <c r="I75" s="9">
        <v>46199</v>
      </c>
      <c r="J75" s="7" t="s">
        <v>34</v>
      </c>
      <c r="K75" s="5">
        <v>0</v>
      </c>
      <c r="M75" t="s">
        <v>172</v>
      </c>
      <c r="N75" t="s">
        <v>172</v>
      </c>
      <c r="O75" s="3" t="s">
        <v>172</v>
      </c>
      <c r="P75" t="s">
        <v>172</v>
      </c>
      <c r="Q75" t="s">
        <v>172</v>
      </c>
      <c r="R75" t="s">
        <v>172</v>
      </c>
    </row>
    <row r="76" spans="1:18" x14ac:dyDescent="0.3">
      <c r="A76" s="7">
        <v>42829</v>
      </c>
      <c r="B76" s="7" t="s">
        <v>27</v>
      </c>
      <c r="C76" s="7" t="s">
        <v>172</v>
      </c>
      <c r="D76" s="7" t="s">
        <v>85</v>
      </c>
      <c r="E76" s="7" t="s">
        <v>48</v>
      </c>
      <c r="F76" s="7" t="s">
        <v>109</v>
      </c>
      <c r="G76" s="7" t="s">
        <v>42</v>
      </c>
      <c r="H76" s="7" t="s">
        <v>188</v>
      </c>
      <c r="I76" s="9">
        <v>46199</v>
      </c>
      <c r="J76" s="7" t="s">
        <v>34</v>
      </c>
      <c r="K76" s="5">
        <v>0</v>
      </c>
      <c r="M76" t="s">
        <v>172</v>
      </c>
      <c r="N76" t="s">
        <v>172</v>
      </c>
      <c r="O76" s="3" t="s">
        <v>172</v>
      </c>
      <c r="P76" t="s">
        <v>172</v>
      </c>
      <c r="Q76" t="s">
        <v>172</v>
      </c>
      <c r="R76" t="s">
        <v>172</v>
      </c>
    </row>
    <row r="77" spans="1:18" x14ac:dyDescent="0.3">
      <c r="A77" s="7">
        <v>43790</v>
      </c>
      <c r="B77" s="7" t="s">
        <v>27</v>
      </c>
      <c r="C77" s="7">
        <v>9886</v>
      </c>
      <c r="D77" s="7" t="s">
        <v>193</v>
      </c>
      <c r="E77" s="7" t="s">
        <v>29</v>
      </c>
      <c r="F77" s="7" t="s">
        <v>107</v>
      </c>
      <c r="G77" s="7" t="s">
        <v>30</v>
      </c>
      <c r="H77" s="7" t="s">
        <v>188</v>
      </c>
      <c r="I77" s="9">
        <v>46199</v>
      </c>
      <c r="J77" s="7" t="s">
        <v>34</v>
      </c>
      <c r="K77" s="5">
        <v>175.75</v>
      </c>
      <c r="M77" t="s">
        <v>172</v>
      </c>
      <c r="N77" t="s">
        <v>172</v>
      </c>
      <c r="O77" s="3" t="s">
        <v>172</v>
      </c>
      <c r="P77" t="s">
        <v>172</v>
      </c>
      <c r="Q77" t="s">
        <v>172</v>
      </c>
      <c r="R77" t="s">
        <v>172</v>
      </c>
    </row>
    <row r="78" spans="1:18" x14ac:dyDescent="0.3">
      <c r="A78" s="7">
        <v>43834</v>
      </c>
      <c r="B78" s="7" t="s">
        <v>27</v>
      </c>
      <c r="C78" s="7">
        <v>1273</v>
      </c>
      <c r="D78" s="7" t="s">
        <v>86</v>
      </c>
      <c r="E78" s="7" t="s">
        <v>48</v>
      </c>
      <c r="F78" s="7" t="s">
        <v>109</v>
      </c>
      <c r="G78" s="7" t="s">
        <v>42</v>
      </c>
      <c r="H78" s="7" t="s">
        <v>188</v>
      </c>
      <c r="I78" s="9">
        <v>46199</v>
      </c>
      <c r="J78" s="7" t="s">
        <v>34</v>
      </c>
      <c r="K78" s="5">
        <v>0</v>
      </c>
      <c r="M78" t="s">
        <v>172</v>
      </c>
      <c r="N78" t="s">
        <v>172</v>
      </c>
      <c r="O78" s="3" t="s">
        <v>172</v>
      </c>
      <c r="P78" t="s">
        <v>172</v>
      </c>
      <c r="Q78" t="s">
        <v>172</v>
      </c>
      <c r="R78" t="s">
        <v>172</v>
      </c>
    </row>
    <row r="79" spans="1:18" x14ac:dyDescent="0.3">
      <c r="A79" s="7">
        <v>43850</v>
      </c>
      <c r="B79" s="7" t="s">
        <v>27</v>
      </c>
      <c r="C79" s="7">
        <v>1211</v>
      </c>
      <c r="D79" s="7" t="s">
        <v>184</v>
      </c>
      <c r="E79" s="7" t="s">
        <v>29</v>
      </c>
      <c r="F79" s="7" t="s">
        <v>106</v>
      </c>
      <c r="G79" s="7" t="s">
        <v>30</v>
      </c>
      <c r="H79" s="7" t="s">
        <v>188</v>
      </c>
      <c r="I79" s="9">
        <v>46199</v>
      </c>
      <c r="J79" s="7" t="s">
        <v>34</v>
      </c>
      <c r="K79" s="5">
        <v>0</v>
      </c>
      <c r="M79" t="s">
        <v>172</v>
      </c>
      <c r="N79" t="s">
        <v>172</v>
      </c>
      <c r="O79" s="3" t="s">
        <v>172</v>
      </c>
      <c r="P79" t="s">
        <v>172</v>
      </c>
      <c r="Q79" t="s">
        <v>172</v>
      </c>
      <c r="R79" t="s">
        <v>172</v>
      </c>
    </row>
    <row r="80" spans="1:18" x14ac:dyDescent="0.3">
      <c r="A80" s="7">
        <v>44712</v>
      </c>
      <c r="B80" s="7" t="s">
        <v>27</v>
      </c>
      <c r="C80" s="7">
        <v>6127</v>
      </c>
      <c r="D80" s="7" t="s">
        <v>41</v>
      </c>
      <c r="E80" s="7" t="s">
        <v>48</v>
      </c>
      <c r="F80" s="7" t="s">
        <v>109</v>
      </c>
      <c r="G80" s="7" t="s">
        <v>42</v>
      </c>
      <c r="H80" s="7" t="s">
        <v>188</v>
      </c>
      <c r="I80" s="9">
        <v>46199</v>
      </c>
      <c r="J80" s="7" t="s">
        <v>34</v>
      </c>
      <c r="K80" s="5">
        <v>0</v>
      </c>
      <c r="M80" t="s">
        <v>172</v>
      </c>
      <c r="N80" t="s">
        <v>172</v>
      </c>
      <c r="O80" s="3" t="s">
        <v>172</v>
      </c>
      <c r="P80" t="s">
        <v>172</v>
      </c>
      <c r="Q80" t="s">
        <v>172</v>
      </c>
      <c r="R80" t="s">
        <v>172</v>
      </c>
    </row>
    <row r="81" spans="1:18" x14ac:dyDescent="0.3">
      <c r="A81" s="7">
        <v>44812</v>
      </c>
      <c r="B81" s="7" t="s">
        <v>27</v>
      </c>
      <c r="C81" s="7">
        <v>1623</v>
      </c>
      <c r="D81" s="7" t="s">
        <v>81</v>
      </c>
      <c r="E81" s="7" t="s">
        <v>48</v>
      </c>
      <c r="F81" s="7" t="s">
        <v>106</v>
      </c>
      <c r="G81" s="7" t="s">
        <v>54</v>
      </c>
      <c r="H81" s="7" t="s">
        <v>188</v>
      </c>
      <c r="I81" s="9">
        <v>46199</v>
      </c>
      <c r="J81" s="7" t="s">
        <v>34</v>
      </c>
      <c r="K81" s="5">
        <v>0</v>
      </c>
      <c r="M81" t="s">
        <v>172</v>
      </c>
      <c r="N81" t="s">
        <v>172</v>
      </c>
      <c r="O81" s="3" t="s">
        <v>172</v>
      </c>
      <c r="P81" t="s">
        <v>172</v>
      </c>
      <c r="Q81" t="s">
        <v>172</v>
      </c>
      <c r="R81" t="s">
        <v>172</v>
      </c>
    </row>
    <row r="82" spans="1:18" x14ac:dyDescent="0.3">
      <c r="A82" s="7">
        <v>44840</v>
      </c>
      <c r="B82" s="7" t="s">
        <v>27</v>
      </c>
      <c r="C82" s="7">
        <v>1623</v>
      </c>
      <c r="D82" s="7" t="s">
        <v>81</v>
      </c>
      <c r="E82" s="7" t="s">
        <v>48</v>
      </c>
      <c r="F82" s="7" t="s">
        <v>106</v>
      </c>
      <c r="G82" s="7" t="s">
        <v>54</v>
      </c>
      <c r="H82" s="7" t="s">
        <v>188</v>
      </c>
      <c r="I82" s="9">
        <v>46199</v>
      </c>
      <c r="J82" s="7" t="s">
        <v>34</v>
      </c>
      <c r="K82" s="5">
        <v>0</v>
      </c>
      <c r="M82" t="s">
        <v>172</v>
      </c>
      <c r="N82" t="s">
        <v>172</v>
      </c>
      <c r="O82" s="3" t="s">
        <v>172</v>
      </c>
      <c r="P82" t="s">
        <v>172</v>
      </c>
      <c r="Q82" t="s">
        <v>172</v>
      </c>
      <c r="R82" t="s">
        <v>172</v>
      </c>
    </row>
    <row r="83" spans="1:18" x14ac:dyDescent="0.3">
      <c r="A83" s="7">
        <v>44986</v>
      </c>
      <c r="B83" s="7" t="s">
        <v>27</v>
      </c>
      <c r="C83" s="7">
        <v>1544</v>
      </c>
      <c r="D83" s="7" t="s">
        <v>88</v>
      </c>
      <c r="E83" s="7" t="s">
        <v>48</v>
      </c>
      <c r="F83" s="7" t="s">
        <v>111</v>
      </c>
      <c r="G83" s="7" t="s">
        <v>56</v>
      </c>
      <c r="H83" s="7" t="s">
        <v>188</v>
      </c>
      <c r="I83" s="9">
        <v>46199</v>
      </c>
      <c r="J83" s="7" t="s">
        <v>34</v>
      </c>
      <c r="K83" s="5">
        <v>0</v>
      </c>
      <c r="M83" t="s">
        <v>172</v>
      </c>
      <c r="N83" t="s">
        <v>172</v>
      </c>
      <c r="O83" s="3" t="s">
        <v>172</v>
      </c>
      <c r="P83" t="s">
        <v>172</v>
      </c>
      <c r="Q83" t="s">
        <v>172</v>
      </c>
      <c r="R83" t="s">
        <v>172</v>
      </c>
    </row>
    <row r="84" spans="1:18" x14ac:dyDescent="0.3">
      <c r="A84" s="7">
        <v>45474</v>
      </c>
      <c r="B84" s="7" t="s">
        <v>27</v>
      </c>
      <c r="C84" s="7">
        <v>1273</v>
      </c>
      <c r="D84" s="7" t="s">
        <v>86</v>
      </c>
      <c r="E84" s="7" t="s">
        <v>48</v>
      </c>
      <c r="F84" s="7" t="s">
        <v>109</v>
      </c>
      <c r="G84" s="7" t="s">
        <v>42</v>
      </c>
      <c r="H84" s="7" t="s">
        <v>188</v>
      </c>
      <c r="I84" s="9">
        <v>46199</v>
      </c>
      <c r="J84" s="7" t="s">
        <v>32</v>
      </c>
      <c r="K84" s="5">
        <v>358.93</v>
      </c>
      <c r="M84" t="s">
        <v>172</v>
      </c>
      <c r="N84" t="s">
        <v>172</v>
      </c>
      <c r="O84" s="3" t="s">
        <v>172</v>
      </c>
      <c r="P84" t="s">
        <v>172</v>
      </c>
      <c r="Q84" t="s">
        <v>172</v>
      </c>
      <c r="R84" t="s">
        <v>172</v>
      </c>
    </row>
    <row r="85" spans="1:18" x14ac:dyDescent="0.3">
      <c r="A85" s="7">
        <v>28472</v>
      </c>
      <c r="B85" s="7" t="s">
        <v>27</v>
      </c>
      <c r="C85" s="7">
        <v>9886</v>
      </c>
      <c r="D85" s="7" t="s">
        <v>193</v>
      </c>
      <c r="E85" s="7" t="s">
        <v>29</v>
      </c>
      <c r="F85" s="7" t="s">
        <v>107</v>
      </c>
      <c r="G85" s="7" t="s">
        <v>30</v>
      </c>
      <c r="H85" s="7" t="s">
        <v>194</v>
      </c>
      <c r="I85" s="9">
        <v>46203</v>
      </c>
      <c r="J85" s="7" t="s">
        <v>34</v>
      </c>
      <c r="K85" s="5">
        <v>0</v>
      </c>
      <c r="M85" t="s">
        <v>172</v>
      </c>
      <c r="N85" t="s">
        <v>172</v>
      </c>
      <c r="O85" s="3" t="s">
        <v>172</v>
      </c>
      <c r="P85" t="s">
        <v>172</v>
      </c>
      <c r="Q85" t="s">
        <v>172</v>
      </c>
      <c r="R85" t="s">
        <v>172</v>
      </c>
    </row>
    <row r="86" spans="1:18" x14ac:dyDescent="0.3">
      <c r="A86" s="7">
        <v>33900</v>
      </c>
      <c r="B86" s="7" t="s">
        <v>27</v>
      </c>
      <c r="C86" s="7">
        <v>1464</v>
      </c>
      <c r="D86" s="7" t="s">
        <v>64</v>
      </c>
      <c r="E86" s="7" t="s">
        <v>29</v>
      </c>
      <c r="F86" s="7" t="s">
        <v>110</v>
      </c>
      <c r="G86" s="7" t="s">
        <v>30</v>
      </c>
      <c r="H86" s="7" t="s">
        <v>194</v>
      </c>
      <c r="I86" s="9">
        <v>46203</v>
      </c>
      <c r="J86" s="7" t="s">
        <v>34</v>
      </c>
      <c r="K86" s="5">
        <v>0</v>
      </c>
      <c r="M86" t="s">
        <v>172</v>
      </c>
      <c r="N86" t="s">
        <v>172</v>
      </c>
      <c r="O86" s="3" t="s">
        <v>172</v>
      </c>
      <c r="P86" t="s">
        <v>172</v>
      </c>
      <c r="Q86" t="s">
        <v>172</v>
      </c>
      <c r="R86" t="s">
        <v>172</v>
      </c>
    </row>
    <row r="87" spans="1:18" x14ac:dyDescent="0.3">
      <c r="A87" s="7">
        <v>40182</v>
      </c>
      <c r="B87" s="7" t="s">
        <v>27</v>
      </c>
      <c r="C87" s="7">
        <v>1596</v>
      </c>
      <c r="D87" s="7" t="s">
        <v>62</v>
      </c>
      <c r="E87" s="7" t="s">
        <v>29</v>
      </c>
      <c r="F87" s="7" t="s">
        <v>111</v>
      </c>
      <c r="G87" s="7" t="s">
        <v>30</v>
      </c>
      <c r="H87" s="7" t="s">
        <v>194</v>
      </c>
      <c r="I87" s="9">
        <v>46203</v>
      </c>
      <c r="J87" s="7" t="s">
        <v>34</v>
      </c>
      <c r="K87" s="5">
        <v>0</v>
      </c>
      <c r="M87" t="s">
        <v>172</v>
      </c>
      <c r="N87" t="s">
        <v>172</v>
      </c>
      <c r="O87" s="3" t="s">
        <v>172</v>
      </c>
      <c r="P87" t="s">
        <v>172</v>
      </c>
      <c r="Q87" t="s">
        <v>172</v>
      </c>
      <c r="R87" t="s">
        <v>172</v>
      </c>
    </row>
    <row r="88" spans="1:18" x14ac:dyDescent="0.3">
      <c r="A88" s="7">
        <v>40431</v>
      </c>
      <c r="B88" s="7" t="s">
        <v>27</v>
      </c>
      <c r="C88" s="7">
        <v>1596</v>
      </c>
      <c r="D88" s="7" t="s">
        <v>62</v>
      </c>
      <c r="E88" s="7" t="s">
        <v>29</v>
      </c>
      <c r="F88" s="7" t="s">
        <v>111</v>
      </c>
      <c r="G88" s="7" t="s">
        <v>30</v>
      </c>
      <c r="H88" s="7" t="s">
        <v>194</v>
      </c>
      <c r="I88" s="9">
        <v>46203</v>
      </c>
      <c r="J88" s="7" t="s">
        <v>34</v>
      </c>
      <c r="K88" s="5">
        <v>0</v>
      </c>
      <c r="M88" t="s">
        <v>172</v>
      </c>
      <c r="N88" t="s">
        <v>172</v>
      </c>
      <c r="O88" s="3" t="s">
        <v>172</v>
      </c>
      <c r="P88" t="s">
        <v>172</v>
      </c>
      <c r="Q88" t="s">
        <v>172</v>
      </c>
      <c r="R88" t="s">
        <v>172</v>
      </c>
    </row>
    <row r="89" spans="1:18" x14ac:dyDescent="0.3">
      <c r="A89" s="7">
        <v>41258</v>
      </c>
      <c r="B89" s="7" t="s">
        <v>27</v>
      </c>
      <c r="C89" s="7">
        <v>1596</v>
      </c>
      <c r="D89" s="7" t="s">
        <v>62</v>
      </c>
      <c r="E89" s="7" t="s">
        <v>29</v>
      </c>
      <c r="F89" s="7" t="s">
        <v>111</v>
      </c>
      <c r="G89" s="7" t="s">
        <v>30</v>
      </c>
      <c r="H89" s="7" t="s">
        <v>194</v>
      </c>
      <c r="I89" s="9">
        <v>46203</v>
      </c>
      <c r="J89" s="7" t="s">
        <v>34</v>
      </c>
      <c r="K89" s="5">
        <v>0</v>
      </c>
      <c r="M89" t="s">
        <v>172</v>
      </c>
      <c r="N89" t="s">
        <v>172</v>
      </c>
      <c r="O89" s="3" t="s">
        <v>172</v>
      </c>
      <c r="P89" t="s">
        <v>172</v>
      </c>
      <c r="Q89" t="s">
        <v>172</v>
      </c>
      <c r="R89" t="s">
        <v>172</v>
      </c>
    </row>
    <row r="90" spans="1:18" x14ac:dyDescent="0.3">
      <c r="A90" s="7">
        <v>41521</v>
      </c>
      <c r="B90" s="7" t="s">
        <v>27</v>
      </c>
      <c r="C90" s="7">
        <v>1596</v>
      </c>
      <c r="D90" s="7" t="s">
        <v>62</v>
      </c>
      <c r="E90" s="7" t="s">
        <v>29</v>
      </c>
      <c r="F90" s="7" t="s">
        <v>111</v>
      </c>
      <c r="G90" s="7" t="s">
        <v>30</v>
      </c>
      <c r="H90" s="7" t="s">
        <v>194</v>
      </c>
      <c r="I90" s="9">
        <v>46203</v>
      </c>
      <c r="J90" s="7" t="s">
        <v>34</v>
      </c>
      <c r="K90" s="5">
        <v>0</v>
      </c>
      <c r="M90" t="s">
        <v>172</v>
      </c>
      <c r="N90" t="s">
        <v>172</v>
      </c>
      <c r="O90" s="3" t="s">
        <v>172</v>
      </c>
      <c r="P90" t="s">
        <v>172</v>
      </c>
      <c r="Q90" t="s">
        <v>172</v>
      </c>
      <c r="R90" t="s">
        <v>172</v>
      </c>
    </row>
    <row r="91" spans="1:18" x14ac:dyDescent="0.3">
      <c r="A91" s="7">
        <v>41840</v>
      </c>
      <c r="B91" s="7" t="s">
        <v>27</v>
      </c>
      <c r="C91" s="7">
        <v>1464</v>
      </c>
      <c r="D91" s="7" t="s">
        <v>64</v>
      </c>
      <c r="E91" s="7" t="s">
        <v>29</v>
      </c>
      <c r="F91" s="7" t="s">
        <v>110</v>
      </c>
      <c r="G91" s="7" t="s">
        <v>30</v>
      </c>
      <c r="H91" s="7" t="s">
        <v>194</v>
      </c>
      <c r="I91" s="9">
        <v>46203</v>
      </c>
      <c r="J91" s="7" t="s">
        <v>34</v>
      </c>
      <c r="K91" s="5">
        <v>0</v>
      </c>
      <c r="M91" t="s">
        <v>172</v>
      </c>
      <c r="N91" t="s">
        <v>172</v>
      </c>
      <c r="O91" s="3" t="s">
        <v>172</v>
      </c>
      <c r="P91" t="s">
        <v>172</v>
      </c>
      <c r="Q91" t="s">
        <v>172</v>
      </c>
      <c r="R91" t="s">
        <v>172</v>
      </c>
    </row>
    <row r="92" spans="1:18" x14ac:dyDescent="0.3">
      <c r="A92" s="7">
        <v>43879</v>
      </c>
      <c r="B92" s="7" t="s">
        <v>27</v>
      </c>
      <c r="C92" s="7">
        <v>1429</v>
      </c>
      <c r="D92" s="7" t="s">
        <v>208</v>
      </c>
      <c r="E92" s="7" t="s">
        <v>29</v>
      </c>
      <c r="F92" s="7" t="s">
        <v>177</v>
      </c>
      <c r="G92" s="7" t="s">
        <v>30</v>
      </c>
      <c r="H92" s="7" t="s">
        <v>194</v>
      </c>
      <c r="I92" s="9">
        <v>46203</v>
      </c>
      <c r="J92" s="7" t="s">
        <v>34</v>
      </c>
      <c r="K92" s="5">
        <v>0</v>
      </c>
      <c r="M92" t="s">
        <v>172</v>
      </c>
      <c r="N92" t="s">
        <v>172</v>
      </c>
      <c r="O92" s="3" t="s">
        <v>172</v>
      </c>
      <c r="P92" t="s">
        <v>172</v>
      </c>
      <c r="Q92" t="s">
        <v>172</v>
      </c>
      <c r="R92" t="s">
        <v>172</v>
      </c>
    </row>
    <row r="93" spans="1:18" x14ac:dyDescent="0.3">
      <c r="A93" s="7">
        <v>44422</v>
      </c>
      <c r="B93" s="7" t="s">
        <v>27</v>
      </c>
      <c r="C93" s="7">
        <v>9886</v>
      </c>
      <c r="D93" s="7" t="s">
        <v>193</v>
      </c>
      <c r="E93" s="7" t="s">
        <v>29</v>
      </c>
      <c r="F93" s="7" t="s">
        <v>107</v>
      </c>
      <c r="G93" s="7" t="s">
        <v>30</v>
      </c>
      <c r="H93" s="7" t="s">
        <v>194</v>
      </c>
      <c r="I93" s="9">
        <v>46203</v>
      </c>
      <c r="J93" s="7" t="s">
        <v>34</v>
      </c>
      <c r="K93" s="5">
        <v>0</v>
      </c>
      <c r="M93" t="s">
        <v>172</v>
      </c>
      <c r="N93" t="s">
        <v>172</v>
      </c>
      <c r="O93" s="3" t="s">
        <v>172</v>
      </c>
      <c r="P93" t="s">
        <v>172</v>
      </c>
      <c r="Q93" t="s">
        <v>172</v>
      </c>
      <c r="R93" t="s">
        <v>172</v>
      </c>
    </row>
    <row r="94" spans="1:18" x14ac:dyDescent="0.3">
      <c r="A94" s="7">
        <v>44481</v>
      </c>
      <c r="B94" s="7" t="s">
        <v>27</v>
      </c>
      <c r="C94" s="7">
        <v>1623</v>
      </c>
      <c r="D94" s="7" t="s">
        <v>81</v>
      </c>
      <c r="E94" s="7" t="s">
        <v>48</v>
      </c>
      <c r="F94" s="7" t="s">
        <v>106</v>
      </c>
      <c r="G94" s="7" t="s">
        <v>54</v>
      </c>
      <c r="H94" s="7" t="s">
        <v>98</v>
      </c>
      <c r="I94" s="9">
        <v>46203</v>
      </c>
      <c r="J94" s="7" t="s">
        <v>34</v>
      </c>
      <c r="K94" s="5">
        <v>0</v>
      </c>
      <c r="M94" t="s">
        <v>172</v>
      </c>
      <c r="N94" t="s">
        <v>172</v>
      </c>
      <c r="O94" s="3" t="s">
        <v>172</v>
      </c>
      <c r="P94" t="s">
        <v>172</v>
      </c>
      <c r="Q94" t="s">
        <v>172</v>
      </c>
      <c r="R94" t="s">
        <v>172</v>
      </c>
    </row>
    <row r="95" spans="1:18" x14ac:dyDescent="0.3">
      <c r="A95" s="7">
        <v>13077</v>
      </c>
      <c r="B95" s="7" t="s">
        <v>27</v>
      </c>
      <c r="C95" s="7">
        <v>1464</v>
      </c>
      <c r="D95" s="7" t="s">
        <v>64</v>
      </c>
      <c r="E95" s="7" t="s">
        <v>29</v>
      </c>
      <c r="F95" s="7" t="s">
        <v>110</v>
      </c>
      <c r="G95" s="7" t="s">
        <v>30</v>
      </c>
      <c r="H95" s="7" t="s">
        <v>197</v>
      </c>
      <c r="I95" s="9">
        <v>46204</v>
      </c>
      <c r="J95" s="7" t="s">
        <v>34</v>
      </c>
      <c r="K95" s="5">
        <v>0</v>
      </c>
      <c r="M95" t="s">
        <v>172</v>
      </c>
      <c r="N95" t="s">
        <v>172</v>
      </c>
      <c r="O95" s="3" t="s">
        <v>172</v>
      </c>
      <c r="P95" t="s">
        <v>172</v>
      </c>
      <c r="Q95" t="s">
        <v>172</v>
      </c>
      <c r="R95" t="s">
        <v>172</v>
      </c>
    </row>
    <row r="96" spans="1:18" x14ac:dyDescent="0.3">
      <c r="A96" s="7">
        <v>22385</v>
      </c>
      <c r="B96" s="7" t="s">
        <v>27</v>
      </c>
      <c r="C96" s="7">
        <v>1464</v>
      </c>
      <c r="D96" s="7" t="s">
        <v>64</v>
      </c>
      <c r="E96" s="7" t="s">
        <v>29</v>
      </c>
      <c r="F96" s="7" t="s">
        <v>110</v>
      </c>
      <c r="G96" s="7" t="s">
        <v>30</v>
      </c>
      <c r="H96" s="7" t="s">
        <v>197</v>
      </c>
      <c r="I96" s="9">
        <v>46204</v>
      </c>
      <c r="J96" s="7" t="s">
        <v>34</v>
      </c>
      <c r="K96" s="5">
        <v>0</v>
      </c>
      <c r="M96" t="s">
        <v>172</v>
      </c>
      <c r="N96" t="s">
        <v>172</v>
      </c>
      <c r="O96" s="3" t="s">
        <v>172</v>
      </c>
      <c r="P96" t="s">
        <v>172</v>
      </c>
      <c r="Q96" t="s">
        <v>172</v>
      </c>
      <c r="R96" t="s">
        <v>172</v>
      </c>
    </row>
    <row r="97" spans="1:18" x14ac:dyDescent="0.3">
      <c r="A97" s="7">
        <v>24281</v>
      </c>
      <c r="B97" s="7" t="s">
        <v>27</v>
      </c>
      <c r="C97" s="7">
        <v>9886</v>
      </c>
      <c r="D97" s="7" t="s">
        <v>193</v>
      </c>
      <c r="E97" s="7" t="s">
        <v>29</v>
      </c>
      <c r="F97" s="7" t="s">
        <v>107</v>
      </c>
      <c r="G97" s="7" t="s">
        <v>30</v>
      </c>
      <c r="H97" s="7" t="s">
        <v>197</v>
      </c>
      <c r="I97" s="9">
        <v>46204</v>
      </c>
      <c r="J97" s="7" t="s">
        <v>34</v>
      </c>
      <c r="K97" s="5">
        <v>0</v>
      </c>
      <c r="M97" t="s">
        <v>172</v>
      </c>
      <c r="N97" t="s">
        <v>172</v>
      </c>
      <c r="O97" s="3" t="s">
        <v>172</v>
      </c>
      <c r="P97" t="s">
        <v>172</v>
      </c>
      <c r="Q97" t="s">
        <v>172</v>
      </c>
      <c r="R97" t="s">
        <v>172</v>
      </c>
    </row>
    <row r="98" spans="1:18" x14ac:dyDescent="0.3">
      <c r="A98" s="7">
        <v>26799</v>
      </c>
      <c r="B98" s="7" t="s">
        <v>27</v>
      </c>
      <c r="C98" s="7">
        <v>1429</v>
      </c>
      <c r="D98" s="7" t="s">
        <v>208</v>
      </c>
      <c r="E98" s="7" t="s">
        <v>29</v>
      </c>
      <c r="F98" s="7" t="s">
        <v>177</v>
      </c>
      <c r="G98" s="7" t="s">
        <v>30</v>
      </c>
      <c r="H98" s="7" t="s">
        <v>197</v>
      </c>
      <c r="I98" s="9">
        <v>46204</v>
      </c>
      <c r="J98" s="7" t="s">
        <v>34</v>
      </c>
      <c r="K98" s="5">
        <v>0</v>
      </c>
      <c r="M98" t="s">
        <v>172</v>
      </c>
      <c r="N98" t="s">
        <v>172</v>
      </c>
      <c r="O98" s="3" t="s">
        <v>172</v>
      </c>
      <c r="P98" t="s">
        <v>172</v>
      </c>
      <c r="Q98" t="s">
        <v>172</v>
      </c>
      <c r="R98" t="s">
        <v>172</v>
      </c>
    </row>
    <row r="99" spans="1:18" x14ac:dyDescent="0.3">
      <c r="A99" s="7">
        <v>28038</v>
      </c>
      <c r="B99" s="7" t="s">
        <v>27</v>
      </c>
      <c r="C99" s="7">
        <v>1211</v>
      </c>
      <c r="D99" s="7" t="s">
        <v>184</v>
      </c>
      <c r="E99" s="7" t="s">
        <v>29</v>
      </c>
      <c r="F99" s="7" t="s">
        <v>106</v>
      </c>
      <c r="G99" s="7" t="s">
        <v>30</v>
      </c>
      <c r="H99" s="7" t="s">
        <v>197</v>
      </c>
      <c r="I99" s="9">
        <v>46204</v>
      </c>
      <c r="J99" s="7" t="s">
        <v>34</v>
      </c>
      <c r="K99" s="5">
        <v>0</v>
      </c>
      <c r="M99" t="s">
        <v>172</v>
      </c>
      <c r="N99" t="s">
        <v>172</v>
      </c>
      <c r="O99" s="3" t="s">
        <v>172</v>
      </c>
      <c r="P99" t="s">
        <v>172</v>
      </c>
      <c r="Q99" t="s">
        <v>172</v>
      </c>
      <c r="R99" t="s">
        <v>172</v>
      </c>
    </row>
    <row r="100" spans="1:18" x14ac:dyDescent="0.3">
      <c r="A100" s="7">
        <v>29214</v>
      </c>
      <c r="B100" s="7" t="s">
        <v>27</v>
      </c>
      <c r="C100" s="7">
        <v>1211</v>
      </c>
      <c r="D100" s="7" t="s">
        <v>184</v>
      </c>
      <c r="E100" s="7" t="s">
        <v>29</v>
      </c>
      <c r="F100" s="7" t="s">
        <v>106</v>
      </c>
      <c r="G100" s="7" t="s">
        <v>30</v>
      </c>
      <c r="H100" s="7" t="s">
        <v>197</v>
      </c>
      <c r="I100" s="9">
        <v>46204</v>
      </c>
      <c r="J100" s="7" t="s">
        <v>34</v>
      </c>
      <c r="K100" s="5">
        <v>264.88</v>
      </c>
      <c r="M100" t="s">
        <v>172</v>
      </c>
      <c r="N100" t="s">
        <v>172</v>
      </c>
      <c r="O100" s="3" t="s">
        <v>172</v>
      </c>
      <c r="P100" t="s">
        <v>172</v>
      </c>
      <c r="Q100" t="s">
        <v>172</v>
      </c>
      <c r="R100" t="s">
        <v>172</v>
      </c>
    </row>
    <row r="101" spans="1:18" x14ac:dyDescent="0.3">
      <c r="A101" s="7">
        <v>33381</v>
      </c>
      <c r="B101" s="7" t="s">
        <v>27</v>
      </c>
      <c r="C101" s="7">
        <v>1604</v>
      </c>
      <c r="D101" s="7" t="s">
        <v>105</v>
      </c>
      <c r="E101" s="7" t="s">
        <v>48</v>
      </c>
      <c r="F101" s="7" t="s">
        <v>106</v>
      </c>
      <c r="G101" s="7" t="s">
        <v>54</v>
      </c>
      <c r="H101" s="7" t="s">
        <v>197</v>
      </c>
      <c r="I101" s="9">
        <v>46204</v>
      </c>
      <c r="J101" s="7" t="s">
        <v>34</v>
      </c>
      <c r="K101" s="5">
        <v>0</v>
      </c>
      <c r="M101" t="s">
        <v>172</v>
      </c>
      <c r="N101" t="s">
        <v>172</v>
      </c>
      <c r="O101" s="3" t="s">
        <v>172</v>
      </c>
      <c r="P101" t="s">
        <v>172</v>
      </c>
      <c r="Q101" t="s">
        <v>172</v>
      </c>
      <c r="R101" t="s">
        <v>172</v>
      </c>
    </row>
    <row r="102" spans="1:18" x14ac:dyDescent="0.3">
      <c r="A102" s="7">
        <v>34108</v>
      </c>
      <c r="B102" s="7" t="s">
        <v>27</v>
      </c>
      <c r="C102" s="7">
        <v>1211</v>
      </c>
      <c r="D102" s="7" t="s">
        <v>184</v>
      </c>
      <c r="E102" s="7" t="s">
        <v>29</v>
      </c>
      <c r="F102" s="7" t="s">
        <v>106</v>
      </c>
      <c r="G102" s="7" t="s">
        <v>30</v>
      </c>
      <c r="H102" s="7" t="s">
        <v>197</v>
      </c>
      <c r="I102" s="9">
        <v>46204</v>
      </c>
      <c r="J102" s="7" t="s">
        <v>34</v>
      </c>
      <c r="K102" s="5">
        <v>215.8</v>
      </c>
      <c r="M102" t="s">
        <v>172</v>
      </c>
      <c r="N102" t="s">
        <v>172</v>
      </c>
      <c r="O102" s="3" t="s">
        <v>172</v>
      </c>
      <c r="P102" t="s">
        <v>172</v>
      </c>
      <c r="Q102" t="s">
        <v>172</v>
      </c>
      <c r="R102" t="s">
        <v>172</v>
      </c>
    </row>
    <row r="103" spans="1:18" x14ac:dyDescent="0.3">
      <c r="A103" s="7">
        <v>34203</v>
      </c>
      <c r="B103" s="7" t="s">
        <v>27</v>
      </c>
      <c r="C103" s="7">
        <v>1429</v>
      </c>
      <c r="D103" s="7" t="s">
        <v>208</v>
      </c>
      <c r="E103" s="7" t="s">
        <v>29</v>
      </c>
      <c r="F103" s="7" t="s">
        <v>177</v>
      </c>
      <c r="G103" s="7" t="s">
        <v>30</v>
      </c>
      <c r="H103" s="7" t="s">
        <v>197</v>
      </c>
      <c r="I103" s="9">
        <v>46204</v>
      </c>
      <c r="J103" s="7" t="s">
        <v>34</v>
      </c>
      <c r="K103" s="5">
        <v>0</v>
      </c>
      <c r="M103" t="s">
        <v>172</v>
      </c>
      <c r="N103" t="s">
        <v>172</v>
      </c>
      <c r="O103" s="3" t="s">
        <v>172</v>
      </c>
      <c r="P103" t="s">
        <v>172</v>
      </c>
      <c r="Q103" t="s">
        <v>172</v>
      </c>
      <c r="R103" t="s">
        <v>172</v>
      </c>
    </row>
    <row r="104" spans="1:18" x14ac:dyDescent="0.3">
      <c r="A104" s="7">
        <v>34855</v>
      </c>
      <c r="B104" s="7" t="s">
        <v>27</v>
      </c>
      <c r="C104" s="7">
        <v>1211</v>
      </c>
      <c r="D104" s="7" t="s">
        <v>184</v>
      </c>
      <c r="E104" s="7" t="s">
        <v>29</v>
      </c>
      <c r="F104" s="7" t="s">
        <v>106</v>
      </c>
      <c r="G104" s="7" t="s">
        <v>30</v>
      </c>
      <c r="H104" s="7" t="s">
        <v>197</v>
      </c>
      <c r="I104" s="9">
        <v>46204</v>
      </c>
      <c r="J104" s="7" t="s">
        <v>34</v>
      </c>
      <c r="K104" s="5">
        <v>0</v>
      </c>
      <c r="M104" t="s">
        <v>172</v>
      </c>
      <c r="N104" t="s">
        <v>172</v>
      </c>
      <c r="O104" s="3" t="s">
        <v>172</v>
      </c>
      <c r="P104" t="s">
        <v>172</v>
      </c>
      <c r="Q104" t="s">
        <v>172</v>
      </c>
      <c r="R104" t="s">
        <v>172</v>
      </c>
    </row>
    <row r="105" spans="1:18" x14ac:dyDescent="0.3">
      <c r="A105" s="7">
        <v>35916</v>
      </c>
      <c r="B105" s="7" t="s">
        <v>27</v>
      </c>
      <c r="C105" s="7">
        <v>1596</v>
      </c>
      <c r="D105" s="7" t="s">
        <v>62</v>
      </c>
      <c r="E105" s="7" t="s">
        <v>29</v>
      </c>
      <c r="F105" s="7" t="s">
        <v>111</v>
      </c>
      <c r="G105" s="7" t="s">
        <v>30</v>
      </c>
      <c r="H105" s="7" t="s">
        <v>197</v>
      </c>
      <c r="I105" s="9">
        <v>46204</v>
      </c>
      <c r="J105" s="7" t="s">
        <v>34</v>
      </c>
      <c r="K105" s="5">
        <v>0</v>
      </c>
      <c r="M105" t="s">
        <v>172</v>
      </c>
      <c r="N105" t="s">
        <v>172</v>
      </c>
      <c r="O105" s="3" t="s">
        <v>172</v>
      </c>
      <c r="P105" t="s">
        <v>172</v>
      </c>
      <c r="Q105" t="s">
        <v>172</v>
      </c>
      <c r="R105" t="s">
        <v>172</v>
      </c>
    </row>
    <row r="106" spans="1:18" x14ac:dyDescent="0.3">
      <c r="A106" s="7">
        <v>36402</v>
      </c>
      <c r="B106" s="7" t="s">
        <v>27</v>
      </c>
      <c r="C106" s="7">
        <v>1464</v>
      </c>
      <c r="D106" s="7" t="s">
        <v>64</v>
      </c>
      <c r="E106" s="7" t="s">
        <v>29</v>
      </c>
      <c r="F106" s="7" t="s">
        <v>110</v>
      </c>
      <c r="G106" s="7" t="s">
        <v>30</v>
      </c>
      <c r="H106" s="7" t="s">
        <v>197</v>
      </c>
      <c r="I106" s="9">
        <v>46204</v>
      </c>
      <c r="J106" s="7" t="s">
        <v>34</v>
      </c>
      <c r="K106" s="5">
        <v>429.84</v>
      </c>
      <c r="M106" t="s">
        <v>172</v>
      </c>
      <c r="N106" t="s">
        <v>172</v>
      </c>
      <c r="O106" s="3" t="s">
        <v>172</v>
      </c>
      <c r="P106" t="s">
        <v>172</v>
      </c>
      <c r="Q106" t="s">
        <v>172</v>
      </c>
      <c r="R106" t="s">
        <v>172</v>
      </c>
    </row>
    <row r="107" spans="1:18" x14ac:dyDescent="0.3">
      <c r="A107" s="7">
        <v>36424</v>
      </c>
      <c r="B107" s="7" t="s">
        <v>27</v>
      </c>
      <c r="C107" s="7">
        <v>1429</v>
      </c>
      <c r="D107" s="7" t="s">
        <v>208</v>
      </c>
      <c r="E107" s="7" t="s">
        <v>29</v>
      </c>
      <c r="F107" s="7" t="s">
        <v>177</v>
      </c>
      <c r="G107" s="7" t="s">
        <v>30</v>
      </c>
      <c r="H107" s="7" t="s">
        <v>197</v>
      </c>
      <c r="I107" s="9">
        <v>46204</v>
      </c>
      <c r="J107" s="7" t="s">
        <v>34</v>
      </c>
      <c r="K107" s="5">
        <v>0</v>
      </c>
      <c r="M107" t="s">
        <v>172</v>
      </c>
      <c r="N107" t="s">
        <v>172</v>
      </c>
      <c r="O107" s="3" t="s">
        <v>172</v>
      </c>
      <c r="P107" t="s">
        <v>172</v>
      </c>
      <c r="Q107" t="s">
        <v>172</v>
      </c>
      <c r="R107" t="s">
        <v>172</v>
      </c>
    </row>
    <row r="108" spans="1:18" x14ac:dyDescent="0.3">
      <c r="A108" s="7">
        <v>36790</v>
      </c>
      <c r="B108" s="7" t="s">
        <v>27</v>
      </c>
      <c r="C108" s="7">
        <v>1429</v>
      </c>
      <c r="D108" s="7" t="s">
        <v>208</v>
      </c>
      <c r="E108" s="7" t="s">
        <v>29</v>
      </c>
      <c r="F108" s="7" t="s">
        <v>177</v>
      </c>
      <c r="G108" s="7" t="s">
        <v>30</v>
      </c>
      <c r="H108" s="7" t="s">
        <v>197</v>
      </c>
      <c r="I108" s="9">
        <v>46204</v>
      </c>
      <c r="J108" s="7" t="s">
        <v>34</v>
      </c>
      <c r="K108" s="5">
        <v>413.88000000000005</v>
      </c>
      <c r="M108" t="s">
        <v>172</v>
      </c>
      <c r="N108" t="s">
        <v>172</v>
      </c>
      <c r="O108" s="3" t="s">
        <v>172</v>
      </c>
      <c r="P108" t="s">
        <v>172</v>
      </c>
      <c r="Q108" t="s">
        <v>172</v>
      </c>
      <c r="R108" t="s">
        <v>172</v>
      </c>
    </row>
    <row r="109" spans="1:18" x14ac:dyDescent="0.3">
      <c r="A109" s="7">
        <v>36900</v>
      </c>
      <c r="B109" s="7" t="s">
        <v>27</v>
      </c>
      <c r="C109" s="7">
        <v>1596</v>
      </c>
      <c r="D109" s="7" t="s">
        <v>62</v>
      </c>
      <c r="E109" s="7" t="s">
        <v>29</v>
      </c>
      <c r="F109" s="7" t="s">
        <v>111</v>
      </c>
      <c r="G109" s="7" t="s">
        <v>30</v>
      </c>
      <c r="H109" s="7" t="s">
        <v>197</v>
      </c>
      <c r="I109" s="9">
        <v>46204</v>
      </c>
      <c r="J109" s="7" t="s">
        <v>34</v>
      </c>
      <c r="K109" s="5">
        <v>0</v>
      </c>
      <c r="M109" t="s">
        <v>172</v>
      </c>
      <c r="N109" t="s">
        <v>172</v>
      </c>
      <c r="O109" s="3" t="s">
        <v>172</v>
      </c>
      <c r="P109" t="s">
        <v>172</v>
      </c>
      <c r="Q109" t="s">
        <v>172</v>
      </c>
      <c r="R109" t="s">
        <v>172</v>
      </c>
    </row>
    <row r="110" spans="1:18" x14ac:dyDescent="0.3">
      <c r="A110" s="7">
        <v>38087</v>
      </c>
      <c r="B110" s="7" t="s">
        <v>27</v>
      </c>
      <c r="C110" s="7">
        <v>1464</v>
      </c>
      <c r="D110" s="7" t="s">
        <v>64</v>
      </c>
      <c r="E110" s="7" t="s">
        <v>29</v>
      </c>
      <c r="F110" s="7" t="s">
        <v>110</v>
      </c>
      <c r="G110" s="7" t="s">
        <v>30</v>
      </c>
      <c r="H110" s="7" t="s">
        <v>197</v>
      </c>
      <c r="I110" s="9">
        <v>46204</v>
      </c>
      <c r="J110" s="7" t="s">
        <v>34</v>
      </c>
      <c r="K110" s="5">
        <v>0</v>
      </c>
      <c r="M110" t="s">
        <v>172</v>
      </c>
      <c r="N110" t="s">
        <v>172</v>
      </c>
      <c r="O110" s="3" t="s">
        <v>172</v>
      </c>
      <c r="P110" t="s">
        <v>172</v>
      </c>
      <c r="Q110" t="s">
        <v>172</v>
      </c>
      <c r="R110" t="s">
        <v>172</v>
      </c>
    </row>
    <row r="111" spans="1:18" x14ac:dyDescent="0.3">
      <c r="A111" s="7">
        <v>38579</v>
      </c>
      <c r="B111" s="7" t="s">
        <v>27</v>
      </c>
      <c r="C111" s="7">
        <v>1429</v>
      </c>
      <c r="D111" s="7" t="s">
        <v>208</v>
      </c>
      <c r="E111" s="7" t="s">
        <v>29</v>
      </c>
      <c r="F111" s="7" t="s">
        <v>177</v>
      </c>
      <c r="G111" s="7" t="s">
        <v>30</v>
      </c>
      <c r="H111" s="7" t="s">
        <v>197</v>
      </c>
      <c r="I111" s="9">
        <v>46204</v>
      </c>
      <c r="J111" s="7" t="s">
        <v>34</v>
      </c>
      <c r="K111" s="5">
        <v>0</v>
      </c>
      <c r="M111" t="s">
        <v>172</v>
      </c>
      <c r="N111" t="s">
        <v>172</v>
      </c>
      <c r="O111" s="3" t="s">
        <v>172</v>
      </c>
      <c r="P111" t="s">
        <v>172</v>
      </c>
      <c r="Q111" t="s">
        <v>172</v>
      </c>
      <c r="R111" t="s">
        <v>172</v>
      </c>
    </row>
    <row r="112" spans="1:18" x14ac:dyDescent="0.3">
      <c r="A112" s="7">
        <v>39612</v>
      </c>
      <c r="B112" s="7" t="s">
        <v>27</v>
      </c>
      <c r="C112" s="7">
        <v>1464</v>
      </c>
      <c r="D112" s="7" t="s">
        <v>64</v>
      </c>
      <c r="E112" s="7" t="s">
        <v>29</v>
      </c>
      <c r="F112" s="7" t="s">
        <v>110</v>
      </c>
      <c r="G112" s="7" t="s">
        <v>30</v>
      </c>
      <c r="H112" s="7" t="s">
        <v>197</v>
      </c>
      <c r="I112" s="9">
        <v>46204</v>
      </c>
      <c r="J112" s="7" t="s">
        <v>34</v>
      </c>
      <c r="K112" s="5">
        <v>0</v>
      </c>
      <c r="M112" t="s">
        <v>172</v>
      </c>
      <c r="N112" t="s">
        <v>172</v>
      </c>
      <c r="O112" s="3" t="s">
        <v>172</v>
      </c>
      <c r="P112" t="s">
        <v>172</v>
      </c>
      <c r="Q112" t="s">
        <v>172</v>
      </c>
      <c r="R112" t="s">
        <v>172</v>
      </c>
    </row>
    <row r="113" spans="1:18" x14ac:dyDescent="0.3">
      <c r="A113" s="7">
        <v>40389</v>
      </c>
      <c r="B113" s="7" t="s">
        <v>27</v>
      </c>
      <c r="C113" s="7">
        <v>1464</v>
      </c>
      <c r="D113" s="7" t="s">
        <v>64</v>
      </c>
      <c r="E113" s="7" t="s">
        <v>29</v>
      </c>
      <c r="F113" s="7" t="s">
        <v>110</v>
      </c>
      <c r="G113" s="7" t="s">
        <v>30</v>
      </c>
      <c r="H113" s="7" t="s">
        <v>197</v>
      </c>
      <c r="I113" s="9">
        <v>46204</v>
      </c>
      <c r="J113" s="7" t="s">
        <v>34</v>
      </c>
      <c r="K113" s="5">
        <v>0</v>
      </c>
      <c r="M113" t="s">
        <v>172</v>
      </c>
      <c r="N113" t="s">
        <v>172</v>
      </c>
      <c r="O113" s="3" t="s">
        <v>172</v>
      </c>
      <c r="P113" t="s">
        <v>172</v>
      </c>
      <c r="Q113" t="s">
        <v>172</v>
      </c>
      <c r="R113" t="s">
        <v>172</v>
      </c>
    </row>
    <row r="114" spans="1:18" x14ac:dyDescent="0.3">
      <c r="A114" s="7">
        <v>40474</v>
      </c>
      <c r="B114" s="7" t="s">
        <v>27</v>
      </c>
      <c r="C114" s="7">
        <v>1464</v>
      </c>
      <c r="D114" s="7" t="s">
        <v>64</v>
      </c>
      <c r="E114" s="7" t="s">
        <v>29</v>
      </c>
      <c r="F114" s="7" t="s">
        <v>110</v>
      </c>
      <c r="G114" s="7" t="s">
        <v>30</v>
      </c>
      <c r="H114" s="7" t="s">
        <v>197</v>
      </c>
      <c r="I114" s="9">
        <v>46204</v>
      </c>
      <c r="J114" s="7" t="s">
        <v>34</v>
      </c>
      <c r="K114" s="5">
        <v>0</v>
      </c>
      <c r="M114" t="s">
        <v>172</v>
      </c>
      <c r="N114" t="s">
        <v>172</v>
      </c>
      <c r="O114" s="3" t="s">
        <v>172</v>
      </c>
      <c r="P114" t="s">
        <v>172</v>
      </c>
      <c r="Q114" t="s">
        <v>172</v>
      </c>
      <c r="R114" t="s">
        <v>172</v>
      </c>
    </row>
    <row r="115" spans="1:18" x14ac:dyDescent="0.3">
      <c r="A115" s="7">
        <v>40575</v>
      </c>
      <c r="B115" s="7" t="s">
        <v>27</v>
      </c>
      <c r="C115" s="7">
        <v>1211</v>
      </c>
      <c r="D115" s="7" t="s">
        <v>184</v>
      </c>
      <c r="E115" s="7" t="s">
        <v>29</v>
      </c>
      <c r="F115" s="7" t="s">
        <v>106</v>
      </c>
      <c r="G115" s="7" t="s">
        <v>30</v>
      </c>
      <c r="H115" s="7" t="s">
        <v>197</v>
      </c>
      <c r="I115" s="9">
        <v>46204</v>
      </c>
      <c r="J115" s="7" t="s">
        <v>34</v>
      </c>
      <c r="K115" s="5">
        <v>0</v>
      </c>
      <c r="M115" t="s">
        <v>172</v>
      </c>
      <c r="N115" t="s">
        <v>172</v>
      </c>
      <c r="O115" s="3" t="s">
        <v>172</v>
      </c>
      <c r="P115" t="s">
        <v>172</v>
      </c>
      <c r="Q115" t="s">
        <v>172</v>
      </c>
      <c r="R115" t="s">
        <v>172</v>
      </c>
    </row>
    <row r="116" spans="1:18" x14ac:dyDescent="0.3">
      <c r="A116" s="7">
        <v>41527</v>
      </c>
      <c r="B116" s="7" t="s">
        <v>27</v>
      </c>
      <c r="C116" s="7">
        <v>1464</v>
      </c>
      <c r="D116" s="7" t="s">
        <v>64</v>
      </c>
      <c r="E116" s="7" t="s">
        <v>29</v>
      </c>
      <c r="F116" s="7" t="s">
        <v>110</v>
      </c>
      <c r="G116" s="7" t="s">
        <v>30</v>
      </c>
      <c r="H116" s="7" t="s">
        <v>197</v>
      </c>
      <c r="I116" s="9">
        <v>46204</v>
      </c>
      <c r="J116" s="7" t="s">
        <v>34</v>
      </c>
      <c r="K116" s="5">
        <v>0</v>
      </c>
      <c r="M116" t="s">
        <v>172</v>
      </c>
      <c r="N116" t="s">
        <v>172</v>
      </c>
      <c r="O116" s="3" t="s">
        <v>172</v>
      </c>
      <c r="P116" t="s">
        <v>172</v>
      </c>
      <c r="Q116" t="s">
        <v>172</v>
      </c>
      <c r="R116" t="s">
        <v>172</v>
      </c>
    </row>
    <row r="117" spans="1:18" x14ac:dyDescent="0.3">
      <c r="A117" s="7">
        <v>41577</v>
      </c>
      <c r="B117" s="7" t="s">
        <v>27</v>
      </c>
      <c r="C117" s="7">
        <v>1464</v>
      </c>
      <c r="D117" s="7" t="s">
        <v>64</v>
      </c>
      <c r="E117" s="7" t="s">
        <v>29</v>
      </c>
      <c r="F117" s="7" t="s">
        <v>110</v>
      </c>
      <c r="G117" s="7" t="s">
        <v>30</v>
      </c>
      <c r="H117" s="7" t="s">
        <v>197</v>
      </c>
      <c r="I117" s="9">
        <v>46204</v>
      </c>
      <c r="J117" s="7" t="s">
        <v>34</v>
      </c>
      <c r="K117" s="5">
        <v>0</v>
      </c>
      <c r="M117" t="s">
        <v>172</v>
      </c>
      <c r="N117" t="s">
        <v>172</v>
      </c>
      <c r="O117" s="3" t="s">
        <v>172</v>
      </c>
      <c r="P117" t="s">
        <v>172</v>
      </c>
      <c r="Q117" t="s">
        <v>172</v>
      </c>
      <c r="R117" t="s">
        <v>172</v>
      </c>
    </row>
    <row r="118" spans="1:18" x14ac:dyDescent="0.3">
      <c r="A118" s="7">
        <v>41615</v>
      </c>
      <c r="B118" s="7" t="s">
        <v>27</v>
      </c>
      <c r="C118" s="7">
        <v>1464</v>
      </c>
      <c r="D118" s="7" t="s">
        <v>64</v>
      </c>
      <c r="E118" s="7" t="s">
        <v>29</v>
      </c>
      <c r="F118" s="7" t="s">
        <v>110</v>
      </c>
      <c r="G118" s="7" t="s">
        <v>30</v>
      </c>
      <c r="H118" s="7" t="s">
        <v>197</v>
      </c>
      <c r="I118" s="9">
        <v>46204</v>
      </c>
      <c r="J118" s="7" t="s">
        <v>34</v>
      </c>
      <c r="K118" s="5">
        <v>0</v>
      </c>
      <c r="M118" t="s">
        <v>172</v>
      </c>
      <c r="N118" t="s">
        <v>172</v>
      </c>
      <c r="O118" s="3" t="s">
        <v>172</v>
      </c>
      <c r="P118" t="s">
        <v>172</v>
      </c>
      <c r="Q118" t="s">
        <v>172</v>
      </c>
      <c r="R118" t="s">
        <v>172</v>
      </c>
    </row>
    <row r="119" spans="1:18" x14ac:dyDescent="0.3">
      <c r="A119" s="7">
        <v>41632</v>
      </c>
      <c r="B119" s="7" t="s">
        <v>27</v>
      </c>
      <c r="C119" s="7">
        <v>1464</v>
      </c>
      <c r="D119" s="7" t="s">
        <v>64</v>
      </c>
      <c r="E119" s="7" t="s">
        <v>29</v>
      </c>
      <c r="F119" s="7" t="s">
        <v>110</v>
      </c>
      <c r="G119" s="7" t="s">
        <v>30</v>
      </c>
      <c r="H119" s="7" t="s">
        <v>197</v>
      </c>
      <c r="I119" s="9">
        <v>46204</v>
      </c>
      <c r="J119" s="7" t="s">
        <v>34</v>
      </c>
      <c r="K119" s="5">
        <v>0</v>
      </c>
      <c r="M119" t="s">
        <v>172</v>
      </c>
      <c r="N119" t="s">
        <v>172</v>
      </c>
      <c r="O119" s="3" t="s">
        <v>172</v>
      </c>
      <c r="P119" t="s">
        <v>172</v>
      </c>
      <c r="Q119" t="s">
        <v>172</v>
      </c>
      <c r="R119" t="s">
        <v>172</v>
      </c>
    </row>
    <row r="120" spans="1:18" x14ac:dyDescent="0.3">
      <c r="A120" s="7">
        <v>42136</v>
      </c>
      <c r="B120" s="7" t="s">
        <v>27</v>
      </c>
      <c r="C120" s="7">
        <v>1596</v>
      </c>
      <c r="D120" s="7" t="s">
        <v>62</v>
      </c>
      <c r="E120" s="7" t="s">
        <v>29</v>
      </c>
      <c r="F120" s="7" t="s">
        <v>111</v>
      </c>
      <c r="G120" s="7" t="s">
        <v>30</v>
      </c>
      <c r="H120" s="7" t="s">
        <v>197</v>
      </c>
      <c r="I120" s="9">
        <v>46204</v>
      </c>
      <c r="J120" s="7" t="s">
        <v>34</v>
      </c>
      <c r="K120" s="5">
        <v>0</v>
      </c>
      <c r="M120" t="s">
        <v>172</v>
      </c>
      <c r="N120" t="s">
        <v>172</v>
      </c>
      <c r="O120" s="3" t="s">
        <v>172</v>
      </c>
      <c r="P120" t="s">
        <v>172</v>
      </c>
      <c r="Q120" t="s">
        <v>172</v>
      </c>
      <c r="R120" t="s">
        <v>172</v>
      </c>
    </row>
    <row r="121" spans="1:18" x14ac:dyDescent="0.3">
      <c r="A121" s="7">
        <v>42492</v>
      </c>
      <c r="B121" s="7" t="s">
        <v>27</v>
      </c>
      <c r="C121" s="7">
        <v>1464</v>
      </c>
      <c r="D121" s="7" t="s">
        <v>64</v>
      </c>
      <c r="E121" s="7" t="s">
        <v>29</v>
      </c>
      <c r="F121" s="7" t="s">
        <v>110</v>
      </c>
      <c r="G121" s="7" t="s">
        <v>30</v>
      </c>
      <c r="H121" s="7" t="s">
        <v>197</v>
      </c>
      <c r="I121" s="9">
        <v>46204</v>
      </c>
      <c r="J121" s="7" t="s">
        <v>34</v>
      </c>
      <c r="K121" s="5">
        <v>0</v>
      </c>
      <c r="M121" t="s">
        <v>172</v>
      </c>
      <c r="N121" t="s">
        <v>172</v>
      </c>
      <c r="O121" s="3" t="s">
        <v>172</v>
      </c>
      <c r="P121" t="s">
        <v>172</v>
      </c>
      <c r="Q121" t="s">
        <v>172</v>
      </c>
      <c r="R121" t="s">
        <v>172</v>
      </c>
    </row>
    <row r="122" spans="1:18" x14ac:dyDescent="0.3">
      <c r="A122" s="7">
        <v>42639</v>
      </c>
      <c r="B122" s="7" t="s">
        <v>27</v>
      </c>
      <c r="C122" s="7">
        <v>1464</v>
      </c>
      <c r="D122" s="7" t="s">
        <v>64</v>
      </c>
      <c r="E122" s="7" t="s">
        <v>29</v>
      </c>
      <c r="F122" s="7" t="s">
        <v>110</v>
      </c>
      <c r="G122" s="7" t="s">
        <v>30</v>
      </c>
      <c r="H122" s="7" t="s">
        <v>197</v>
      </c>
      <c r="I122" s="9">
        <v>46204</v>
      </c>
      <c r="J122" s="7" t="s">
        <v>34</v>
      </c>
      <c r="K122" s="5">
        <v>0</v>
      </c>
      <c r="M122" t="s">
        <v>172</v>
      </c>
      <c r="N122" t="s">
        <v>172</v>
      </c>
      <c r="O122" s="3" t="s">
        <v>172</v>
      </c>
      <c r="P122" t="s">
        <v>172</v>
      </c>
      <c r="Q122" t="s">
        <v>172</v>
      </c>
      <c r="R122" t="s">
        <v>172</v>
      </c>
    </row>
    <row r="123" spans="1:18" x14ac:dyDescent="0.3">
      <c r="A123" s="7">
        <v>42716</v>
      </c>
      <c r="B123" s="7" t="s">
        <v>27</v>
      </c>
      <c r="C123" s="7">
        <v>1429</v>
      </c>
      <c r="D123" s="7" t="s">
        <v>208</v>
      </c>
      <c r="E123" s="7" t="s">
        <v>29</v>
      </c>
      <c r="F123" s="7" t="s">
        <v>177</v>
      </c>
      <c r="G123" s="7" t="s">
        <v>30</v>
      </c>
      <c r="H123" s="7" t="s">
        <v>197</v>
      </c>
      <c r="I123" s="9">
        <v>46204</v>
      </c>
      <c r="J123" s="7" t="s">
        <v>34</v>
      </c>
      <c r="K123" s="5">
        <v>0</v>
      </c>
      <c r="M123" t="s">
        <v>172</v>
      </c>
      <c r="N123" t="s">
        <v>172</v>
      </c>
      <c r="O123" s="3" t="s">
        <v>172</v>
      </c>
      <c r="P123" t="s">
        <v>172</v>
      </c>
      <c r="Q123" t="s">
        <v>172</v>
      </c>
      <c r="R123" t="s">
        <v>172</v>
      </c>
    </row>
    <row r="124" spans="1:18" x14ac:dyDescent="0.3">
      <c r="A124" s="7">
        <v>43063</v>
      </c>
      <c r="B124" s="7" t="s">
        <v>27</v>
      </c>
      <c r="C124" s="7">
        <v>1211</v>
      </c>
      <c r="D124" s="7" t="s">
        <v>184</v>
      </c>
      <c r="E124" s="7" t="s">
        <v>29</v>
      </c>
      <c r="F124" s="7" t="s">
        <v>106</v>
      </c>
      <c r="G124" s="7" t="s">
        <v>30</v>
      </c>
      <c r="H124" s="7" t="s">
        <v>197</v>
      </c>
      <c r="I124" s="9">
        <v>46204</v>
      </c>
      <c r="J124" s="7" t="s">
        <v>34</v>
      </c>
      <c r="K124" s="5">
        <v>0</v>
      </c>
      <c r="M124" t="s">
        <v>172</v>
      </c>
      <c r="N124" t="s">
        <v>172</v>
      </c>
      <c r="O124" s="3" t="s">
        <v>172</v>
      </c>
      <c r="P124" t="s">
        <v>172</v>
      </c>
      <c r="Q124" t="s">
        <v>172</v>
      </c>
      <c r="R124" t="s">
        <v>172</v>
      </c>
    </row>
    <row r="125" spans="1:18" x14ac:dyDescent="0.3">
      <c r="A125" s="7">
        <v>43173</v>
      </c>
      <c r="B125" s="7" t="s">
        <v>27</v>
      </c>
      <c r="C125" s="7">
        <v>1596</v>
      </c>
      <c r="D125" s="7" t="s">
        <v>62</v>
      </c>
      <c r="E125" s="7" t="s">
        <v>29</v>
      </c>
      <c r="F125" s="7" t="s">
        <v>111</v>
      </c>
      <c r="G125" s="7" t="s">
        <v>30</v>
      </c>
      <c r="H125" s="7" t="s">
        <v>197</v>
      </c>
      <c r="I125" s="9">
        <v>46204</v>
      </c>
      <c r="J125" s="7" t="s">
        <v>34</v>
      </c>
      <c r="K125" s="5">
        <v>0</v>
      </c>
      <c r="M125" t="s">
        <v>172</v>
      </c>
      <c r="N125" t="s">
        <v>172</v>
      </c>
      <c r="O125" s="3" t="s">
        <v>172</v>
      </c>
      <c r="P125" t="s">
        <v>172</v>
      </c>
      <c r="Q125" t="s">
        <v>172</v>
      </c>
      <c r="R125" t="s">
        <v>172</v>
      </c>
    </row>
    <row r="126" spans="1:18" x14ac:dyDescent="0.3">
      <c r="A126" s="7">
        <v>43434</v>
      </c>
      <c r="B126" s="7" t="s">
        <v>27</v>
      </c>
      <c r="C126" s="7">
        <v>1464</v>
      </c>
      <c r="D126" s="7" t="s">
        <v>64</v>
      </c>
      <c r="E126" s="7" t="s">
        <v>29</v>
      </c>
      <c r="F126" s="7" t="s">
        <v>110</v>
      </c>
      <c r="G126" s="7" t="s">
        <v>30</v>
      </c>
      <c r="H126" s="7" t="s">
        <v>197</v>
      </c>
      <c r="I126" s="9">
        <v>46204</v>
      </c>
      <c r="J126" s="7" t="s">
        <v>34</v>
      </c>
      <c r="K126" s="5">
        <v>0</v>
      </c>
      <c r="M126" t="s">
        <v>172</v>
      </c>
      <c r="N126" t="s">
        <v>172</v>
      </c>
      <c r="O126" s="3" t="s">
        <v>172</v>
      </c>
      <c r="P126" t="s">
        <v>172</v>
      </c>
      <c r="Q126" t="s">
        <v>172</v>
      </c>
      <c r="R126" t="s">
        <v>172</v>
      </c>
    </row>
    <row r="127" spans="1:18" x14ac:dyDescent="0.3">
      <c r="A127" s="7">
        <v>44802</v>
      </c>
      <c r="B127" s="7" t="s">
        <v>27</v>
      </c>
      <c r="C127" s="7">
        <v>1464</v>
      </c>
      <c r="D127" s="7" t="s">
        <v>64</v>
      </c>
      <c r="E127" s="7" t="s">
        <v>29</v>
      </c>
      <c r="F127" s="7" t="s">
        <v>110</v>
      </c>
      <c r="G127" s="7" t="s">
        <v>30</v>
      </c>
      <c r="H127" s="7" t="s">
        <v>197</v>
      </c>
      <c r="I127" s="9">
        <v>46204</v>
      </c>
      <c r="J127" s="7" t="s">
        <v>34</v>
      </c>
      <c r="K127" s="5">
        <v>0</v>
      </c>
      <c r="M127" t="s">
        <v>172</v>
      </c>
      <c r="N127" t="s">
        <v>172</v>
      </c>
      <c r="O127" s="3" t="s">
        <v>172</v>
      </c>
      <c r="P127" t="s">
        <v>172</v>
      </c>
      <c r="Q127" t="s">
        <v>172</v>
      </c>
      <c r="R127" t="s">
        <v>172</v>
      </c>
    </row>
    <row r="128" spans="1:18" x14ac:dyDescent="0.3">
      <c r="A128" s="7">
        <v>17453</v>
      </c>
      <c r="B128" s="7" t="s">
        <v>27</v>
      </c>
      <c r="C128" s="7">
        <v>1235</v>
      </c>
      <c r="D128" s="7" t="s">
        <v>125</v>
      </c>
      <c r="E128" s="7" t="s">
        <v>48</v>
      </c>
      <c r="F128" s="7" t="s">
        <v>107</v>
      </c>
      <c r="G128" s="7" t="s">
        <v>49</v>
      </c>
      <c r="H128" s="7" t="s">
        <v>199</v>
      </c>
      <c r="I128" s="9">
        <v>46205</v>
      </c>
      <c r="J128" s="7" t="s">
        <v>34</v>
      </c>
      <c r="K128" s="5">
        <v>172.5</v>
      </c>
      <c r="M128" t="s">
        <v>172</v>
      </c>
      <c r="N128" t="s">
        <v>172</v>
      </c>
      <c r="O128" s="3" t="s">
        <v>172</v>
      </c>
      <c r="P128" t="s">
        <v>172</v>
      </c>
      <c r="Q128" t="s">
        <v>172</v>
      </c>
      <c r="R128" t="s">
        <v>172</v>
      </c>
    </row>
    <row r="129" spans="1:18" x14ac:dyDescent="0.3">
      <c r="A129" s="7">
        <v>19848</v>
      </c>
      <c r="B129" s="7" t="s">
        <v>27</v>
      </c>
      <c r="C129" s="7">
        <v>1280</v>
      </c>
      <c r="D129" s="7" t="s">
        <v>120</v>
      </c>
      <c r="E129" s="7" t="s">
        <v>48</v>
      </c>
      <c r="F129" s="7" t="s">
        <v>107</v>
      </c>
      <c r="G129" s="7" t="s">
        <v>49</v>
      </c>
      <c r="H129" s="7" t="s">
        <v>199</v>
      </c>
      <c r="I129" s="9">
        <v>46205</v>
      </c>
      <c r="J129" s="7" t="s">
        <v>34</v>
      </c>
      <c r="K129" s="5">
        <v>342.51</v>
      </c>
      <c r="M129" t="s">
        <v>172</v>
      </c>
      <c r="N129" t="s">
        <v>172</v>
      </c>
      <c r="O129" s="3" t="s">
        <v>172</v>
      </c>
      <c r="P129" t="s">
        <v>172</v>
      </c>
      <c r="Q129" t="s">
        <v>172</v>
      </c>
      <c r="R129" t="s">
        <v>172</v>
      </c>
    </row>
    <row r="130" spans="1:18" x14ac:dyDescent="0.3">
      <c r="A130" s="7">
        <v>22457</v>
      </c>
      <c r="B130" s="7" t="s">
        <v>27</v>
      </c>
      <c r="C130" s="7">
        <v>9905</v>
      </c>
      <c r="D130" s="7" t="s">
        <v>123</v>
      </c>
      <c r="E130" s="7" t="s">
        <v>48</v>
      </c>
      <c r="F130" s="7" t="s">
        <v>109</v>
      </c>
      <c r="G130" s="7" t="s">
        <v>42</v>
      </c>
      <c r="H130" s="7" t="s">
        <v>199</v>
      </c>
      <c r="I130" s="9">
        <v>46205</v>
      </c>
      <c r="J130" s="7" t="s">
        <v>34</v>
      </c>
      <c r="K130" s="5">
        <v>198.98999999999998</v>
      </c>
      <c r="M130" t="s">
        <v>172</v>
      </c>
      <c r="N130" t="s">
        <v>172</v>
      </c>
      <c r="O130" s="3" t="s">
        <v>172</v>
      </c>
      <c r="P130" t="s">
        <v>172</v>
      </c>
      <c r="Q130" t="s">
        <v>172</v>
      </c>
      <c r="R130" t="s">
        <v>172</v>
      </c>
    </row>
    <row r="131" spans="1:18" x14ac:dyDescent="0.3">
      <c r="A131" s="7">
        <v>24833</v>
      </c>
      <c r="B131" s="7" t="s">
        <v>27</v>
      </c>
      <c r="C131" s="7">
        <v>1150</v>
      </c>
      <c r="D131" s="7" t="s">
        <v>67</v>
      </c>
      <c r="E131" s="7" t="s">
        <v>48</v>
      </c>
      <c r="F131" s="7" t="s">
        <v>111</v>
      </c>
      <c r="G131" s="7" t="s">
        <v>56</v>
      </c>
      <c r="H131" s="7" t="s">
        <v>199</v>
      </c>
      <c r="I131" s="9">
        <v>46205</v>
      </c>
      <c r="J131" s="7" t="s">
        <v>34</v>
      </c>
      <c r="K131" s="5">
        <v>0</v>
      </c>
      <c r="M131" t="s">
        <v>172</v>
      </c>
      <c r="N131" t="s">
        <v>172</v>
      </c>
      <c r="O131" s="3" t="s">
        <v>172</v>
      </c>
      <c r="P131" t="s">
        <v>172</v>
      </c>
      <c r="Q131" t="s">
        <v>172</v>
      </c>
      <c r="R131" t="s">
        <v>172</v>
      </c>
    </row>
    <row r="132" spans="1:18" x14ac:dyDescent="0.3">
      <c r="A132" s="7">
        <v>31399</v>
      </c>
      <c r="B132" s="7" t="s">
        <v>27</v>
      </c>
      <c r="C132" s="7">
        <v>1296</v>
      </c>
      <c r="D132" s="7" t="s">
        <v>122</v>
      </c>
      <c r="E132" s="7" t="s">
        <v>48</v>
      </c>
      <c r="F132" s="7" t="s">
        <v>110</v>
      </c>
      <c r="G132" s="7" t="s">
        <v>52</v>
      </c>
      <c r="H132" s="7" t="s">
        <v>199</v>
      </c>
      <c r="I132" s="9">
        <v>46205</v>
      </c>
      <c r="J132" s="7" t="s">
        <v>34</v>
      </c>
      <c r="K132" s="5">
        <v>184.16</v>
      </c>
      <c r="M132" t="s">
        <v>172</v>
      </c>
      <c r="N132" t="s">
        <v>172</v>
      </c>
      <c r="O132" s="3" t="s">
        <v>172</v>
      </c>
      <c r="P132" t="s">
        <v>172</v>
      </c>
      <c r="Q132" t="s">
        <v>172</v>
      </c>
      <c r="R132" t="s">
        <v>172</v>
      </c>
    </row>
    <row r="133" spans="1:18" x14ac:dyDescent="0.3">
      <c r="A133" s="7">
        <v>33607</v>
      </c>
      <c r="B133" s="7" t="s">
        <v>27</v>
      </c>
      <c r="C133" s="7">
        <v>9808</v>
      </c>
      <c r="D133" s="7" t="s">
        <v>83</v>
      </c>
      <c r="E133" s="7" t="s">
        <v>48</v>
      </c>
      <c r="F133" s="7" t="s">
        <v>110</v>
      </c>
      <c r="G133" s="7" t="s">
        <v>52</v>
      </c>
      <c r="H133" s="7" t="s">
        <v>199</v>
      </c>
      <c r="I133" s="9">
        <v>46205</v>
      </c>
      <c r="J133" s="7" t="s">
        <v>34</v>
      </c>
      <c r="K133" s="5">
        <v>0</v>
      </c>
      <c r="M133" t="s">
        <v>172</v>
      </c>
      <c r="N133" t="s">
        <v>172</v>
      </c>
      <c r="O133" s="3" t="s">
        <v>172</v>
      </c>
      <c r="P133" t="s">
        <v>172</v>
      </c>
      <c r="Q133" t="s">
        <v>172</v>
      </c>
      <c r="R133" t="s">
        <v>172</v>
      </c>
    </row>
    <row r="134" spans="1:18" x14ac:dyDescent="0.3">
      <c r="A134" s="7">
        <v>35533</v>
      </c>
      <c r="B134" s="7" t="s">
        <v>27</v>
      </c>
      <c r="C134" s="7">
        <v>6127</v>
      </c>
      <c r="D134" s="7" t="s">
        <v>41</v>
      </c>
      <c r="E134" s="7" t="s">
        <v>48</v>
      </c>
      <c r="F134" s="7" t="s">
        <v>109</v>
      </c>
      <c r="G134" s="7" t="s">
        <v>42</v>
      </c>
      <c r="H134" s="7" t="s">
        <v>199</v>
      </c>
      <c r="I134" s="9">
        <v>46205</v>
      </c>
      <c r="J134" s="7" t="s">
        <v>34</v>
      </c>
      <c r="K134" s="5">
        <v>501.91</v>
      </c>
      <c r="M134" t="s">
        <v>172</v>
      </c>
      <c r="N134" t="s">
        <v>172</v>
      </c>
      <c r="O134" s="3" t="s">
        <v>172</v>
      </c>
      <c r="P134" t="s">
        <v>172</v>
      </c>
      <c r="Q134" t="s">
        <v>172</v>
      </c>
      <c r="R134" t="s">
        <v>172</v>
      </c>
    </row>
    <row r="135" spans="1:18" x14ac:dyDescent="0.3">
      <c r="A135" s="7">
        <v>35978</v>
      </c>
      <c r="B135" s="7" t="s">
        <v>27</v>
      </c>
      <c r="C135" s="7" t="s">
        <v>172</v>
      </c>
      <c r="D135" s="7" t="s">
        <v>119</v>
      </c>
      <c r="E135" s="7" t="s">
        <v>48</v>
      </c>
      <c r="F135" s="7" t="s">
        <v>110</v>
      </c>
      <c r="G135" s="7" t="s">
        <v>52</v>
      </c>
      <c r="H135" s="7" t="s">
        <v>199</v>
      </c>
      <c r="I135" s="9">
        <v>46205</v>
      </c>
      <c r="J135" s="7" t="s">
        <v>34</v>
      </c>
      <c r="K135" s="5">
        <v>0</v>
      </c>
      <c r="M135" t="s">
        <v>172</v>
      </c>
      <c r="N135" t="s">
        <v>172</v>
      </c>
      <c r="O135" s="3" t="s">
        <v>172</v>
      </c>
      <c r="P135" t="s">
        <v>172</v>
      </c>
      <c r="Q135" t="s">
        <v>172</v>
      </c>
      <c r="R135" t="s">
        <v>172</v>
      </c>
    </row>
    <row r="136" spans="1:18" x14ac:dyDescent="0.3">
      <c r="A136" s="7">
        <v>39096</v>
      </c>
      <c r="B136" s="7" t="s">
        <v>27</v>
      </c>
      <c r="C136" s="7">
        <v>1325</v>
      </c>
      <c r="D136" s="7" t="s">
        <v>126</v>
      </c>
      <c r="E136" s="7" t="s">
        <v>48</v>
      </c>
      <c r="F136" s="7" t="s">
        <v>107</v>
      </c>
      <c r="G136" s="7" t="s">
        <v>49</v>
      </c>
      <c r="H136" s="7" t="s">
        <v>199</v>
      </c>
      <c r="I136" s="9">
        <v>46205</v>
      </c>
      <c r="J136" s="7" t="s">
        <v>34</v>
      </c>
      <c r="K136" s="5">
        <v>0</v>
      </c>
      <c r="M136" t="s">
        <v>172</v>
      </c>
      <c r="N136" t="s">
        <v>172</v>
      </c>
      <c r="O136" s="3" t="s">
        <v>172</v>
      </c>
      <c r="P136" t="s">
        <v>172</v>
      </c>
      <c r="Q136" t="s">
        <v>172</v>
      </c>
      <c r="R136" t="s">
        <v>172</v>
      </c>
    </row>
    <row r="137" spans="1:18" x14ac:dyDescent="0.3">
      <c r="A137" s="7">
        <v>39470</v>
      </c>
      <c r="B137" s="7" t="s">
        <v>27</v>
      </c>
      <c r="C137" s="7">
        <v>9808</v>
      </c>
      <c r="D137" s="7" t="s">
        <v>83</v>
      </c>
      <c r="E137" s="7" t="s">
        <v>48</v>
      </c>
      <c r="F137" s="7" t="s">
        <v>110</v>
      </c>
      <c r="G137" s="7" t="s">
        <v>52</v>
      </c>
      <c r="H137" s="7" t="s">
        <v>199</v>
      </c>
      <c r="I137" s="9">
        <v>46205</v>
      </c>
      <c r="J137" s="7" t="s">
        <v>34</v>
      </c>
      <c r="K137" s="5">
        <v>182.71</v>
      </c>
      <c r="M137" t="s">
        <v>172</v>
      </c>
      <c r="N137" t="s">
        <v>172</v>
      </c>
      <c r="O137" s="3" t="s">
        <v>172</v>
      </c>
      <c r="P137" t="s">
        <v>172</v>
      </c>
      <c r="Q137" t="s">
        <v>172</v>
      </c>
      <c r="R137" t="s">
        <v>172</v>
      </c>
    </row>
    <row r="138" spans="1:18" x14ac:dyDescent="0.3">
      <c r="A138" s="7">
        <v>39470</v>
      </c>
      <c r="B138" s="7" t="s">
        <v>27</v>
      </c>
      <c r="C138" s="7">
        <v>9808</v>
      </c>
      <c r="D138" s="7" t="s">
        <v>83</v>
      </c>
      <c r="E138" s="7" t="s">
        <v>48</v>
      </c>
      <c r="F138" s="7" t="s">
        <v>110</v>
      </c>
      <c r="G138" s="7" t="s">
        <v>52</v>
      </c>
      <c r="H138" s="7" t="s">
        <v>199</v>
      </c>
      <c r="I138" s="9">
        <v>46205</v>
      </c>
      <c r="J138" s="7" t="s">
        <v>34</v>
      </c>
      <c r="K138" s="5">
        <v>182.71</v>
      </c>
      <c r="M138" t="s">
        <v>172</v>
      </c>
      <c r="N138" t="s">
        <v>172</v>
      </c>
      <c r="O138" s="3" t="s">
        <v>172</v>
      </c>
      <c r="P138" t="s">
        <v>172</v>
      </c>
      <c r="Q138" t="s">
        <v>172</v>
      </c>
      <c r="R138" t="s">
        <v>172</v>
      </c>
    </row>
    <row r="139" spans="1:18" x14ac:dyDescent="0.3">
      <c r="A139" s="7">
        <v>39476</v>
      </c>
      <c r="B139" s="7" t="s">
        <v>27</v>
      </c>
      <c r="C139" s="7">
        <v>1522</v>
      </c>
      <c r="D139" s="7" t="s">
        <v>115</v>
      </c>
      <c r="E139" s="7" t="s">
        <v>48</v>
      </c>
      <c r="F139" s="7" t="s">
        <v>111</v>
      </c>
      <c r="G139" s="7" t="s">
        <v>56</v>
      </c>
      <c r="H139" s="7" t="s">
        <v>199</v>
      </c>
      <c r="I139" s="9">
        <v>46205</v>
      </c>
      <c r="J139" s="7" t="s">
        <v>34</v>
      </c>
      <c r="K139" s="5">
        <v>372.25</v>
      </c>
      <c r="M139" t="s">
        <v>172</v>
      </c>
      <c r="N139" t="s">
        <v>172</v>
      </c>
      <c r="O139" s="3" t="s">
        <v>172</v>
      </c>
      <c r="P139" t="s">
        <v>172</v>
      </c>
      <c r="Q139" t="s">
        <v>172</v>
      </c>
      <c r="R139" t="s">
        <v>172</v>
      </c>
    </row>
    <row r="140" spans="1:18" x14ac:dyDescent="0.3">
      <c r="A140" s="7">
        <v>40050</v>
      </c>
      <c r="B140" s="7" t="s">
        <v>27</v>
      </c>
      <c r="C140" s="7">
        <v>1607</v>
      </c>
      <c r="D140" s="7" t="s">
        <v>121</v>
      </c>
      <c r="E140" s="7" t="s">
        <v>48</v>
      </c>
      <c r="F140" s="7" t="s">
        <v>109</v>
      </c>
      <c r="G140" s="7" t="s">
        <v>42</v>
      </c>
      <c r="H140" s="7" t="s">
        <v>199</v>
      </c>
      <c r="I140" s="9">
        <v>46205</v>
      </c>
      <c r="J140" s="7" t="s">
        <v>34</v>
      </c>
      <c r="K140" s="5">
        <v>0</v>
      </c>
      <c r="M140" t="s">
        <v>172</v>
      </c>
      <c r="N140" t="s">
        <v>172</v>
      </c>
      <c r="O140" s="3" t="s">
        <v>172</v>
      </c>
      <c r="P140" t="s">
        <v>172</v>
      </c>
      <c r="Q140" t="s">
        <v>172</v>
      </c>
      <c r="R140" t="s">
        <v>172</v>
      </c>
    </row>
    <row r="141" spans="1:18" x14ac:dyDescent="0.3">
      <c r="A141" s="7">
        <v>40197</v>
      </c>
      <c r="B141" s="7" t="s">
        <v>27</v>
      </c>
      <c r="C141" s="7">
        <v>1503</v>
      </c>
      <c r="D141" s="7" t="s">
        <v>118</v>
      </c>
      <c r="E141" s="7" t="s">
        <v>48</v>
      </c>
      <c r="F141" s="7" t="s">
        <v>110</v>
      </c>
      <c r="G141" s="7" t="s">
        <v>52</v>
      </c>
      <c r="H141" s="7" t="s">
        <v>199</v>
      </c>
      <c r="I141" s="9">
        <v>46205</v>
      </c>
      <c r="J141" s="7" t="s">
        <v>34</v>
      </c>
      <c r="K141" s="5">
        <v>0</v>
      </c>
      <c r="M141" t="s">
        <v>172</v>
      </c>
      <c r="N141" t="s">
        <v>172</v>
      </c>
      <c r="O141" s="3" t="s">
        <v>172</v>
      </c>
      <c r="P141" t="s">
        <v>172</v>
      </c>
      <c r="Q141" t="s">
        <v>172</v>
      </c>
      <c r="R141" t="s">
        <v>172</v>
      </c>
    </row>
    <row r="142" spans="1:18" x14ac:dyDescent="0.3">
      <c r="A142" s="7">
        <v>41349</v>
      </c>
      <c r="B142" s="7" t="s">
        <v>27</v>
      </c>
      <c r="C142" s="7">
        <v>1273</v>
      </c>
      <c r="D142" s="7" t="s">
        <v>86</v>
      </c>
      <c r="E142" s="7" t="s">
        <v>48</v>
      </c>
      <c r="F142" s="7" t="s">
        <v>109</v>
      </c>
      <c r="G142" s="7" t="s">
        <v>42</v>
      </c>
      <c r="H142" s="7" t="s">
        <v>199</v>
      </c>
      <c r="I142" s="9">
        <v>46205</v>
      </c>
      <c r="J142" s="7" t="s">
        <v>34</v>
      </c>
      <c r="K142" s="5">
        <v>0</v>
      </c>
      <c r="M142" t="s">
        <v>172</v>
      </c>
      <c r="N142" t="s">
        <v>172</v>
      </c>
      <c r="O142" s="3" t="s">
        <v>172</v>
      </c>
      <c r="P142" t="s">
        <v>172</v>
      </c>
      <c r="Q142" t="s">
        <v>172</v>
      </c>
      <c r="R142" t="s">
        <v>172</v>
      </c>
    </row>
    <row r="143" spans="1:18" x14ac:dyDescent="0.3">
      <c r="A143" s="7">
        <v>42173</v>
      </c>
      <c r="B143" s="7" t="s">
        <v>27</v>
      </c>
      <c r="C143" s="7" t="s">
        <v>172</v>
      </c>
      <c r="D143" s="7" t="s">
        <v>119</v>
      </c>
      <c r="E143" s="7" t="s">
        <v>48</v>
      </c>
      <c r="F143" s="7" t="s">
        <v>110</v>
      </c>
      <c r="G143" s="7" t="s">
        <v>52</v>
      </c>
      <c r="H143" s="7" t="s">
        <v>199</v>
      </c>
      <c r="I143" s="9">
        <v>46205</v>
      </c>
      <c r="J143" s="7" t="s">
        <v>34</v>
      </c>
      <c r="K143" s="5">
        <v>0</v>
      </c>
      <c r="M143" t="s">
        <v>172</v>
      </c>
      <c r="N143" t="s">
        <v>172</v>
      </c>
      <c r="O143" s="3" t="s">
        <v>172</v>
      </c>
      <c r="P143" t="s">
        <v>172</v>
      </c>
      <c r="Q143" t="s">
        <v>172</v>
      </c>
      <c r="R143" t="s">
        <v>172</v>
      </c>
    </row>
    <row r="144" spans="1:18" x14ac:dyDescent="0.3">
      <c r="A144" s="7">
        <v>42373</v>
      </c>
      <c r="B144" s="7" t="s">
        <v>135</v>
      </c>
      <c r="C144" s="7">
        <v>0</v>
      </c>
      <c r="D144" s="7" t="s">
        <v>209</v>
      </c>
      <c r="E144" s="7" t="s">
        <v>209</v>
      </c>
      <c r="F144" s="7" t="s">
        <v>209</v>
      </c>
      <c r="G144" s="7" t="s">
        <v>209</v>
      </c>
      <c r="H144" s="7" t="s">
        <v>199</v>
      </c>
      <c r="I144" s="9">
        <v>46205</v>
      </c>
      <c r="J144" s="7" t="s">
        <v>34</v>
      </c>
      <c r="K144" s="5">
        <v>0</v>
      </c>
      <c r="M144" t="s">
        <v>172</v>
      </c>
      <c r="N144" t="s">
        <v>172</v>
      </c>
      <c r="O144" s="3" t="s">
        <v>172</v>
      </c>
      <c r="P144" t="s">
        <v>172</v>
      </c>
      <c r="Q144" t="s">
        <v>172</v>
      </c>
      <c r="R144" t="s">
        <v>172</v>
      </c>
    </row>
    <row r="145" spans="1:18" x14ac:dyDescent="0.3">
      <c r="A145" s="7">
        <v>43435</v>
      </c>
      <c r="B145" s="7" t="s">
        <v>27</v>
      </c>
      <c r="C145" s="7">
        <v>1150</v>
      </c>
      <c r="D145" s="7" t="s">
        <v>67</v>
      </c>
      <c r="E145" s="7" t="s">
        <v>48</v>
      </c>
      <c r="F145" s="7" t="s">
        <v>111</v>
      </c>
      <c r="G145" s="7" t="s">
        <v>56</v>
      </c>
      <c r="H145" s="7" t="s">
        <v>199</v>
      </c>
      <c r="I145" s="9">
        <v>46205</v>
      </c>
      <c r="J145" s="7" t="s">
        <v>34</v>
      </c>
      <c r="K145" s="5">
        <v>0</v>
      </c>
      <c r="M145" t="s">
        <v>172</v>
      </c>
      <c r="N145" t="s">
        <v>172</v>
      </c>
      <c r="O145" s="3" t="s">
        <v>172</v>
      </c>
      <c r="P145" t="s">
        <v>172</v>
      </c>
      <c r="Q145" t="s">
        <v>172</v>
      </c>
      <c r="R145" t="s">
        <v>172</v>
      </c>
    </row>
    <row r="146" spans="1:18" x14ac:dyDescent="0.3">
      <c r="A146" s="7">
        <v>44220</v>
      </c>
      <c r="B146" s="7" t="s">
        <v>27</v>
      </c>
      <c r="C146" s="7">
        <v>1596</v>
      </c>
      <c r="D146" s="7" t="s">
        <v>62</v>
      </c>
      <c r="E146" s="7" t="s">
        <v>29</v>
      </c>
      <c r="F146" s="7" t="s">
        <v>111</v>
      </c>
      <c r="G146" s="7" t="s">
        <v>30</v>
      </c>
      <c r="H146" s="7" t="s">
        <v>199</v>
      </c>
      <c r="I146" s="9">
        <v>46205</v>
      </c>
      <c r="J146" s="7" t="s">
        <v>34</v>
      </c>
      <c r="K146" s="5">
        <v>2854.26</v>
      </c>
      <c r="M146" t="s">
        <v>172</v>
      </c>
      <c r="N146" t="s">
        <v>172</v>
      </c>
      <c r="O146" s="3" t="s">
        <v>172</v>
      </c>
      <c r="P146" t="s">
        <v>172</v>
      </c>
      <c r="Q146" t="s">
        <v>172</v>
      </c>
      <c r="R146" t="s">
        <v>172</v>
      </c>
    </row>
    <row r="147" spans="1:18" x14ac:dyDescent="0.3">
      <c r="A147" s="7">
        <v>44225</v>
      </c>
      <c r="B147" s="7" t="s">
        <v>27</v>
      </c>
      <c r="C147" s="7" t="s">
        <v>172</v>
      </c>
      <c r="D147" s="7" t="s">
        <v>147</v>
      </c>
      <c r="E147" s="7" t="s">
        <v>48</v>
      </c>
      <c r="F147" s="7" t="s">
        <v>110</v>
      </c>
      <c r="G147" s="7" t="s">
        <v>52</v>
      </c>
      <c r="H147" s="7" t="s">
        <v>199</v>
      </c>
      <c r="I147" s="9">
        <v>46205</v>
      </c>
      <c r="J147" s="7" t="s">
        <v>34</v>
      </c>
      <c r="K147" s="5">
        <v>160.75</v>
      </c>
      <c r="M147" t="s">
        <v>172</v>
      </c>
      <c r="N147" t="s">
        <v>172</v>
      </c>
      <c r="O147" s="3" t="s">
        <v>172</v>
      </c>
      <c r="P147" t="s">
        <v>172</v>
      </c>
      <c r="Q147" t="s">
        <v>172</v>
      </c>
      <c r="R147" t="s">
        <v>172</v>
      </c>
    </row>
    <row r="148" spans="1:18" x14ac:dyDescent="0.3">
      <c r="A148" s="7">
        <v>45591</v>
      </c>
      <c r="B148" s="7" t="s">
        <v>27</v>
      </c>
      <c r="C148" s="7">
        <v>1615</v>
      </c>
      <c r="D148" s="7" t="s">
        <v>117</v>
      </c>
      <c r="E148" s="7" t="s">
        <v>48</v>
      </c>
      <c r="F148" s="7" t="s">
        <v>110</v>
      </c>
      <c r="G148" s="7" t="s">
        <v>52</v>
      </c>
      <c r="H148" s="7" t="s">
        <v>199</v>
      </c>
      <c r="I148" s="9">
        <v>46205</v>
      </c>
      <c r="J148" s="7" t="s">
        <v>34</v>
      </c>
      <c r="K148" s="5">
        <v>161.15</v>
      </c>
      <c r="M148" t="s">
        <v>172</v>
      </c>
      <c r="N148" t="s">
        <v>172</v>
      </c>
      <c r="O148" s="3" t="s">
        <v>172</v>
      </c>
      <c r="P148" t="s">
        <v>172</v>
      </c>
      <c r="Q148" t="s">
        <v>172</v>
      </c>
      <c r="R148" t="s">
        <v>172</v>
      </c>
    </row>
    <row r="149" spans="1:18" x14ac:dyDescent="0.3">
      <c r="A149" s="7">
        <v>45710</v>
      </c>
      <c r="B149" s="7" t="s">
        <v>27</v>
      </c>
      <c r="C149" s="7">
        <v>1150</v>
      </c>
      <c r="D149" s="7" t="s">
        <v>67</v>
      </c>
      <c r="E149" s="7" t="s">
        <v>48</v>
      </c>
      <c r="F149" s="7" t="s">
        <v>111</v>
      </c>
      <c r="G149" s="7" t="s">
        <v>56</v>
      </c>
      <c r="H149" s="7" t="s">
        <v>199</v>
      </c>
      <c r="I149" s="9">
        <v>46205</v>
      </c>
      <c r="J149" s="7" t="s">
        <v>34</v>
      </c>
      <c r="K149" s="5">
        <v>402.19</v>
      </c>
      <c r="M149" t="s">
        <v>172</v>
      </c>
      <c r="N149" t="s">
        <v>172</v>
      </c>
      <c r="O149" s="3" t="s">
        <v>172</v>
      </c>
      <c r="P149" t="s">
        <v>172</v>
      </c>
      <c r="Q149" t="s">
        <v>172</v>
      </c>
      <c r="R149" t="s">
        <v>172</v>
      </c>
    </row>
    <row r="150" spans="1:18" x14ac:dyDescent="0.3">
      <c r="A150" s="7">
        <v>34855</v>
      </c>
      <c r="B150" s="7" t="s">
        <v>27</v>
      </c>
      <c r="C150" s="7">
        <v>1211</v>
      </c>
      <c r="D150" s="7" t="s">
        <v>184</v>
      </c>
      <c r="E150" s="7" t="s">
        <v>29</v>
      </c>
      <c r="F150" s="7" t="s">
        <v>106</v>
      </c>
      <c r="G150" s="7" t="s">
        <v>30</v>
      </c>
      <c r="H150" s="7" t="s">
        <v>178</v>
      </c>
      <c r="I150" s="9">
        <v>46206</v>
      </c>
      <c r="J150" s="7" t="s">
        <v>34</v>
      </c>
      <c r="K150" s="5">
        <v>0</v>
      </c>
      <c r="M150" t="s">
        <v>172</v>
      </c>
      <c r="N150" t="s">
        <v>172</v>
      </c>
      <c r="O150" s="3" t="s">
        <v>172</v>
      </c>
      <c r="P150" t="s">
        <v>172</v>
      </c>
      <c r="Q150" t="s">
        <v>172</v>
      </c>
      <c r="R150" t="s">
        <v>172</v>
      </c>
    </row>
    <row r="151" spans="1:18" x14ac:dyDescent="0.3">
      <c r="A151" s="7">
        <v>36147</v>
      </c>
      <c r="B151" s="7" t="s">
        <v>27</v>
      </c>
      <c r="C151" s="7">
        <v>9886</v>
      </c>
      <c r="D151" s="7" t="s">
        <v>193</v>
      </c>
      <c r="E151" s="7" t="s">
        <v>29</v>
      </c>
      <c r="F151" s="7" t="s">
        <v>107</v>
      </c>
      <c r="G151" s="7" t="s">
        <v>30</v>
      </c>
      <c r="H151" s="7" t="s">
        <v>178</v>
      </c>
      <c r="I151" s="9">
        <v>46206</v>
      </c>
      <c r="J151" s="7" t="s">
        <v>34</v>
      </c>
      <c r="K151" s="5">
        <v>0</v>
      </c>
      <c r="M151" t="s">
        <v>172</v>
      </c>
      <c r="N151" t="s">
        <v>172</v>
      </c>
      <c r="O151" s="3" t="s">
        <v>172</v>
      </c>
      <c r="P151" t="s">
        <v>172</v>
      </c>
      <c r="Q151" t="s">
        <v>172</v>
      </c>
      <c r="R151" t="s">
        <v>172</v>
      </c>
    </row>
    <row r="152" spans="1:18" x14ac:dyDescent="0.3">
      <c r="A152" s="7">
        <v>36638</v>
      </c>
      <c r="B152" s="7" t="s">
        <v>27</v>
      </c>
      <c r="C152" s="7">
        <v>1464</v>
      </c>
      <c r="D152" s="7" t="s">
        <v>64</v>
      </c>
      <c r="E152" s="7" t="s">
        <v>29</v>
      </c>
      <c r="F152" s="7" t="s">
        <v>110</v>
      </c>
      <c r="G152" s="7" t="s">
        <v>30</v>
      </c>
      <c r="H152" s="7" t="s">
        <v>178</v>
      </c>
      <c r="I152" s="9">
        <v>46206</v>
      </c>
      <c r="J152" s="7" t="s">
        <v>34</v>
      </c>
      <c r="K152" s="5">
        <v>0</v>
      </c>
      <c r="M152" t="s">
        <v>172</v>
      </c>
      <c r="N152" t="s">
        <v>172</v>
      </c>
      <c r="O152" s="3" t="s">
        <v>172</v>
      </c>
      <c r="P152" t="s">
        <v>172</v>
      </c>
      <c r="Q152" t="s">
        <v>172</v>
      </c>
      <c r="R152" t="s">
        <v>172</v>
      </c>
    </row>
    <row r="153" spans="1:18" x14ac:dyDescent="0.3">
      <c r="A153" s="7">
        <v>39914</v>
      </c>
      <c r="B153" s="7" t="s">
        <v>27</v>
      </c>
      <c r="C153" s="7">
        <v>1596</v>
      </c>
      <c r="D153" s="7" t="s">
        <v>62</v>
      </c>
      <c r="E153" s="7" t="s">
        <v>29</v>
      </c>
      <c r="F153" s="7" t="s">
        <v>111</v>
      </c>
      <c r="G153" s="7" t="s">
        <v>30</v>
      </c>
      <c r="H153" s="7" t="s">
        <v>178</v>
      </c>
      <c r="I153" s="9">
        <v>46206</v>
      </c>
      <c r="J153" s="7" t="s">
        <v>32</v>
      </c>
      <c r="K153" s="5">
        <v>175.75</v>
      </c>
      <c r="M153" t="s">
        <v>172</v>
      </c>
      <c r="N153" t="s">
        <v>172</v>
      </c>
      <c r="O153" s="3" t="s">
        <v>172</v>
      </c>
      <c r="P153" t="s">
        <v>172</v>
      </c>
      <c r="Q153" t="s">
        <v>172</v>
      </c>
      <c r="R153" t="s">
        <v>172</v>
      </c>
    </row>
    <row r="154" spans="1:18" x14ac:dyDescent="0.3">
      <c r="A154" s="7">
        <v>42253</v>
      </c>
      <c r="B154" s="7" t="s">
        <v>27</v>
      </c>
      <c r="C154" s="7">
        <v>1464</v>
      </c>
      <c r="D154" s="7" t="s">
        <v>64</v>
      </c>
      <c r="E154" s="7" t="s">
        <v>29</v>
      </c>
      <c r="F154" s="7" t="s">
        <v>110</v>
      </c>
      <c r="G154" s="7" t="s">
        <v>30</v>
      </c>
      <c r="H154" s="7" t="s">
        <v>178</v>
      </c>
      <c r="I154" s="9">
        <v>46206</v>
      </c>
      <c r="J154" s="7" t="s">
        <v>34</v>
      </c>
      <c r="K154" s="5">
        <v>0</v>
      </c>
      <c r="M154" t="s">
        <v>172</v>
      </c>
      <c r="N154" t="s">
        <v>172</v>
      </c>
      <c r="O154" s="3" t="s">
        <v>172</v>
      </c>
      <c r="P154" t="s">
        <v>172</v>
      </c>
      <c r="Q154" t="s">
        <v>172</v>
      </c>
      <c r="R154" t="s">
        <v>172</v>
      </c>
    </row>
    <row r="155" spans="1:18" x14ac:dyDescent="0.3">
      <c r="A155" s="7">
        <v>19609</v>
      </c>
      <c r="B155" s="7" t="s">
        <v>27</v>
      </c>
      <c r="C155" s="7">
        <v>9937</v>
      </c>
      <c r="D155" s="7" t="s">
        <v>58</v>
      </c>
      <c r="E155" s="7" t="s">
        <v>48</v>
      </c>
      <c r="F155" s="7" t="s">
        <v>106</v>
      </c>
      <c r="G155" s="7" t="s">
        <v>54</v>
      </c>
      <c r="H155" s="7" t="s">
        <v>139</v>
      </c>
      <c r="I155" s="9">
        <v>46209</v>
      </c>
      <c r="J155" s="7" t="s">
        <v>34</v>
      </c>
      <c r="K155" s="5">
        <v>175.25</v>
      </c>
      <c r="M155" t="s">
        <v>172</v>
      </c>
      <c r="N155" t="s">
        <v>172</v>
      </c>
      <c r="O155" s="3" t="s">
        <v>172</v>
      </c>
      <c r="P155" t="s">
        <v>172</v>
      </c>
      <c r="Q155" t="s">
        <v>172</v>
      </c>
      <c r="R155" t="s">
        <v>172</v>
      </c>
    </row>
    <row r="156" spans="1:18" x14ac:dyDescent="0.3">
      <c r="A156" s="7">
        <v>21419</v>
      </c>
      <c r="B156" s="7" t="s">
        <v>27</v>
      </c>
      <c r="C156" s="7">
        <v>1504</v>
      </c>
      <c r="D156" s="7" t="s">
        <v>47</v>
      </c>
      <c r="E156" s="7" t="s">
        <v>48</v>
      </c>
      <c r="F156" s="7" t="s">
        <v>107</v>
      </c>
      <c r="G156" s="7" t="s">
        <v>49</v>
      </c>
      <c r="H156" s="7" t="s">
        <v>139</v>
      </c>
      <c r="I156" s="9">
        <v>46209</v>
      </c>
      <c r="J156" s="7" t="s">
        <v>34</v>
      </c>
      <c r="K156" s="5">
        <v>0</v>
      </c>
      <c r="M156" t="s">
        <v>172</v>
      </c>
      <c r="N156" t="s">
        <v>172</v>
      </c>
      <c r="O156" s="3" t="s">
        <v>172</v>
      </c>
      <c r="P156" t="s">
        <v>172</v>
      </c>
      <c r="Q156" t="s">
        <v>172</v>
      </c>
      <c r="R156" t="s">
        <v>172</v>
      </c>
    </row>
    <row r="157" spans="1:18" x14ac:dyDescent="0.3">
      <c r="A157" s="7">
        <v>22657</v>
      </c>
      <c r="B157" s="7" t="s">
        <v>27</v>
      </c>
      <c r="C157" s="7">
        <v>9808</v>
      </c>
      <c r="D157" s="7" t="s">
        <v>83</v>
      </c>
      <c r="E157" s="7" t="s">
        <v>48</v>
      </c>
      <c r="F157" s="7" t="s">
        <v>110</v>
      </c>
      <c r="G157" s="7" t="s">
        <v>52</v>
      </c>
      <c r="H157" s="7" t="s">
        <v>139</v>
      </c>
      <c r="I157" s="9">
        <v>46209</v>
      </c>
      <c r="J157" s="7" t="s">
        <v>34</v>
      </c>
      <c r="K157" s="5">
        <v>0</v>
      </c>
      <c r="M157" t="s">
        <v>172</v>
      </c>
      <c r="N157" t="s">
        <v>172</v>
      </c>
      <c r="O157" s="3" t="s">
        <v>172</v>
      </c>
      <c r="P157" t="s">
        <v>172</v>
      </c>
      <c r="Q157" t="s">
        <v>172</v>
      </c>
      <c r="R157" t="s">
        <v>172</v>
      </c>
    </row>
    <row r="158" spans="1:18" x14ac:dyDescent="0.3">
      <c r="A158" s="7">
        <v>23202</v>
      </c>
      <c r="B158" s="7" t="s">
        <v>27</v>
      </c>
      <c r="C158" s="7">
        <v>1234</v>
      </c>
      <c r="D158" s="7" t="s">
        <v>57</v>
      </c>
      <c r="E158" s="7" t="s">
        <v>48</v>
      </c>
      <c r="F158" s="7" t="s">
        <v>111</v>
      </c>
      <c r="G158" s="7" t="s">
        <v>56</v>
      </c>
      <c r="H158" s="7" t="s">
        <v>139</v>
      </c>
      <c r="I158" s="9">
        <v>46209</v>
      </c>
      <c r="J158" s="7" t="s">
        <v>34</v>
      </c>
      <c r="K158" s="5">
        <v>661.25</v>
      </c>
      <c r="M158" t="s">
        <v>172</v>
      </c>
      <c r="N158" t="s">
        <v>172</v>
      </c>
      <c r="O158" s="3" t="s">
        <v>172</v>
      </c>
      <c r="P158" t="s">
        <v>172</v>
      </c>
      <c r="Q158" t="s">
        <v>172</v>
      </c>
      <c r="R158" t="s">
        <v>172</v>
      </c>
    </row>
    <row r="159" spans="1:18" x14ac:dyDescent="0.3">
      <c r="A159" s="7">
        <v>33983</v>
      </c>
      <c r="B159" s="7" t="s">
        <v>27</v>
      </c>
      <c r="C159" s="7">
        <v>1237</v>
      </c>
      <c r="D159" s="7" t="s">
        <v>144</v>
      </c>
      <c r="E159" s="7" t="s">
        <v>48</v>
      </c>
      <c r="F159" s="7" t="s">
        <v>107</v>
      </c>
      <c r="G159" s="7" t="s">
        <v>49</v>
      </c>
      <c r="H159" s="7" t="s">
        <v>139</v>
      </c>
      <c r="I159" s="9">
        <v>46209</v>
      </c>
      <c r="J159" s="7" t="s">
        <v>34</v>
      </c>
      <c r="K159" s="5">
        <v>449.4</v>
      </c>
      <c r="M159" t="s">
        <v>172</v>
      </c>
      <c r="N159" t="s">
        <v>172</v>
      </c>
      <c r="O159" s="3" t="s">
        <v>172</v>
      </c>
      <c r="P159" t="s">
        <v>172</v>
      </c>
      <c r="Q159" t="s">
        <v>172</v>
      </c>
      <c r="R159" t="s">
        <v>172</v>
      </c>
    </row>
    <row r="160" spans="1:18" x14ac:dyDescent="0.3">
      <c r="A160" s="7">
        <v>34079</v>
      </c>
      <c r="B160" s="7" t="s">
        <v>27</v>
      </c>
      <c r="C160" s="7">
        <v>1219</v>
      </c>
      <c r="D160" s="7" t="s">
        <v>142</v>
      </c>
      <c r="E160" s="7" t="s">
        <v>48</v>
      </c>
      <c r="F160" s="7" t="s">
        <v>110</v>
      </c>
      <c r="G160" s="7" t="s">
        <v>52</v>
      </c>
      <c r="H160" s="7" t="s">
        <v>139</v>
      </c>
      <c r="I160" s="9">
        <v>46209</v>
      </c>
      <c r="J160" s="7" t="s">
        <v>34</v>
      </c>
      <c r="K160" s="5">
        <v>507</v>
      </c>
      <c r="M160" t="s">
        <v>172</v>
      </c>
      <c r="N160" t="s">
        <v>172</v>
      </c>
      <c r="O160" s="3" t="s">
        <v>172</v>
      </c>
      <c r="P160" t="s">
        <v>172</v>
      </c>
      <c r="Q160" t="s">
        <v>172</v>
      </c>
      <c r="R160" t="s">
        <v>172</v>
      </c>
    </row>
    <row r="161" spans="1:18" x14ac:dyDescent="0.3">
      <c r="A161" s="7">
        <v>35090</v>
      </c>
      <c r="B161" s="7" t="s">
        <v>27</v>
      </c>
      <c r="C161" s="7">
        <v>9886</v>
      </c>
      <c r="D161" s="7" t="s">
        <v>193</v>
      </c>
      <c r="E161" s="7" t="s">
        <v>29</v>
      </c>
      <c r="F161" s="7" t="s">
        <v>107</v>
      </c>
      <c r="G161" s="7" t="s">
        <v>30</v>
      </c>
      <c r="H161" s="7" t="s">
        <v>130</v>
      </c>
      <c r="I161" s="9">
        <v>46209</v>
      </c>
      <c r="J161" s="7" t="s">
        <v>34</v>
      </c>
      <c r="K161" s="5">
        <v>0</v>
      </c>
      <c r="M161" t="s">
        <v>172</v>
      </c>
      <c r="N161" t="s">
        <v>172</v>
      </c>
      <c r="O161" s="3" t="s">
        <v>172</v>
      </c>
      <c r="P161" t="s">
        <v>172</v>
      </c>
      <c r="Q161" t="s">
        <v>172</v>
      </c>
      <c r="R161" t="s">
        <v>172</v>
      </c>
    </row>
    <row r="162" spans="1:18" x14ac:dyDescent="0.3">
      <c r="A162" s="7">
        <v>36675</v>
      </c>
      <c r="B162" s="7" t="s">
        <v>27</v>
      </c>
      <c r="C162" s="7">
        <v>1596</v>
      </c>
      <c r="D162" s="7" t="s">
        <v>62</v>
      </c>
      <c r="E162" s="7" t="s">
        <v>29</v>
      </c>
      <c r="F162" s="7" t="s">
        <v>111</v>
      </c>
      <c r="G162" s="7" t="s">
        <v>30</v>
      </c>
      <c r="H162" s="7" t="s">
        <v>130</v>
      </c>
      <c r="I162" s="9">
        <v>46209</v>
      </c>
      <c r="J162" s="7" t="s">
        <v>34</v>
      </c>
      <c r="K162" s="5">
        <v>0</v>
      </c>
      <c r="M162" t="s">
        <v>172</v>
      </c>
      <c r="N162" t="s">
        <v>172</v>
      </c>
      <c r="O162" s="3" t="s">
        <v>172</v>
      </c>
      <c r="P162" t="s">
        <v>172</v>
      </c>
      <c r="Q162" t="s">
        <v>172</v>
      </c>
      <c r="R162" t="s">
        <v>172</v>
      </c>
    </row>
    <row r="163" spans="1:18" x14ac:dyDescent="0.3">
      <c r="A163" s="7">
        <v>36687</v>
      </c>
      <c r="B163" s="7" t="s">
        <v>27</v>
      </c>
      <c r="C163" s="7" t="s">
        <v>172</v>
      </c>
      <c r="D163" s="7" t="s">
        <v>210</v>
      </c>
      <c r="E163" s="7" t="s">
        <v>29</v>
      </c>
      <c r="F163" s="7" t="s">
        <v>109</v>
      </c>
      <c r="G163" s="7" t="s">
        <v>30</v>
      </c>
      <c r="H163" s="7" t="s">
        <v>139</v>
      </c>
      <c r="I163" s="9">
        <v>46209</v>
      </c>
      <c r="J163" s="7" t="s">
        <v>34</v>
      </c>
      <c r="K163" s="5">
        <v>0</v>
      </c>
      <c r="M163" t="s">
        <v>172</v>
      </c>
      <c r="N163" t="s">
        <v>172</v>
      </c>
      <c r="O163" s="3" t="s">
        <v>172</v>
      </c>
      <c r="P163" t="s">
        <v>172</v>
      </c>
      <c r="Q163" t="s">
        <v>172</v>
      </c>
      <c r="R163" t="s">
        <v>172</v>
      </c>
    </row>
    <row r="164" spans="1:18" x14ac:dyDescent="0.3">
      <c r="A164" s="7">
        <v>36861</v>
      </c>
      <c r="B164" s="7" t="s">
        <v>27</v>
      </c>
      <c r="C164" s="7">
        <v>1363</v>
      </c>
      <c r="D164" s="7" t="s">
        <v>141</v>
      </c>
      <c r="E164" s="7" t="s">
        <v>48</v>
      </c>
      <c r="F164" s="7" t="s">
        <v>109</v>
      </c>
      <c r="G164" s="7" t="s">
        <v>42</v>
      </c>
      <c r="H164" s="7" t="s">
        <v>139</v>
      </c>
      <c r="I164" s="9">
        <v>46209</v>
      </c>
      <c r="J164" s="7" t="s">
        <v>34</v>
      </c>
      <c r="K164" s="5">
        <v>1658</v>
      </c>
      <c r="M164" t="s">
        <v>172</v>
      </c>
      <c r="N164" t="s">
        <v>172</v>
      </c>
      <c r="O164" s="3" t="s">
        <v>172</v>
      </c>
      <c r="P164" t="s">
        <v>172</v>
      </c>
      <c r="Q164" t="s">
        <v>172</v>
      </c>
      <c r="R164" t="s">
        <v>172</v>
      </c>
    </row>
    <row r="165" spans="1:18" x14ac:dyDescent="0.3">
      <c r="A165" s="7">
        <v>37342</v>
      </c>
      <c r="B165" s="7" t="s">
        <v>27</v>
      </c>
      <c r="C165" s="7">
        <v>1211</v>
      </c>
      <c r="D165" s="7" t="s">
        <v>184</v>
      </c>
      <c r="E165" s="7" t="s">
        <v>29</v>
      </c>
      <c r="F165" s="7" t="s">
        <v>106</v>
      </c>
      <c r="G165" s="7" t="s">
        <v>30</v>
      </c>
      <c r="H165" s="7" t="s">
        <v>139</v>
      </c>
      <c r="I165" s="9">
        <v>46209</v>
      </c>
      <c r="J165" s="7" t="s">
        <v>34</v>
      </c>
      <c r="K165" s="5">
        <v>1258</v>
      </c>
      <c r="M165" t="s">
        <v>172</v>
      </c>
      <c r="N165" t="s">
        <v>172</v>
      </c>
      <c r="O165" s="3" t="s">
        <v>172</v>
      </c>
      <c r="P165" t="s">
        <v>172</v>
      </c>
      <c r="Q165" t="s">
        <v>172</v>
      </c>
      <c r="R165" t="s">
        <v>172</v>
      </c>
    </row>
    <row r="166" spans="1:18" x14ac:dyDescent="0.3">
      <c r="A166" s="7">
        <v>37820</v>
      </c>
      <c r="B166" s="7" t="s">
        <v>27</v>
      </c>
      <c r="C166" s="7">
        <v>9886</v>
      </c>
      <c r="D166" s="7" t="s">
        <v>193</v>
      </c>
      <c r="E166" s="7" t="s">
        <v>29</v>
      </c>
      <c r="F166" s="7" t="s">
        <v>107</v>
      </c>
      <c r="G166" s="7" t="s">
        <v>30</v>
      </c>
      <c r="H166" s="7" t="s">
        <v>130</v>
      </c>
      <c r="I166" s="9">
        <v>46209</v>
      </c>
      <c r="J166" s="7" t="s">
        <v>34</v>
      </c>
      <c r="K166" s="5">
        <v>0</v>
      </c>
      <c r="M166" t="s">
        <v>172</v>
      </c>
      <c r="N166" t="s">
        <v>172</v>
      </c>
      <c r="O166" s="3" t="s">
        <v>172</v>
      </c>
      <c r="P166" t="s">
        <v>172</v>
      </c>
      <c r="Q166" t="s">
        <v>172</v>
      </c>
      <c r="R166" t="s">
        <v>172</v>
      </c>
    </row>
    <row r="167" spans="1:18" x14ac:dyDescent="0.3">
      <c r="A167" s="7">
        <v>39508</v>
      </c>
      <c r="B167" s="7" t="s">
        <v>27</v>
      </c>
      <c r="C167" s="7">
        <v>1552</v>
      </c>
      <c r="D167" s="7" t="s">
        <v>145</v>
      </c>
      <c r="E167" s="7" t="s">
        <v>48</v>
      </c>
      <c r="F167" s="7" t="s">
        <v>111</v>
      </c>
      <c r="G167" s="7" t="s">
        <v>56</v>
      </c>
      <c r="H167" s="7" t="s">
        <v>139</v>
      </c>
      <c r="I167" s="9">
        <v>46209</v>
      </c>
      <c r="J167" s="7" t="s">
        <v>34</v>
      </c>
      <c r="K167" s="5">
        <v>2010</v>
      </c>
      <c r="M167" t="s">
        <v>172</v>
      </c>
      <c r="N167" t="s">
        <v>172</v>
      </c>
      <c r="O167" s="3" t="s">
        <v>172</v>
      </c>
      <c r="P167" t="s">
        <v>172</v>
      </c>
      <c r="Q167" t="s">
        <v>172</v>
      </c>
      <c r="R167" t="s">
        <v>172</v>
      </c>
    </row>
    <row r="168" spans="1:18" x14ac:dyDescent="0.3">
      <c r="A168" s="7">
        <v>39800</v>
      </c>
      <c r="B168" s="7" t="s">
        <v>27</v>
      </c>
      <c r="C168" s="7">
        <v>1596</v>
      </c>
      <c r="D168" s="7" t="s">
        <v>62</v>
      </c>
      <c r="E168" s="7" t="s">
        <v>29</v>
      </c>
      <c r="F168" s="7" t="s">
        <v>111</v>
      </c>
      <c r="G168" s="7" t="s">
        <v>30</v>
      </c>
      <c r="H168" s="7" t="s">
        <v>130</v>
      </c>
      <c r="I168" s="9">
        <v>46209</v>
      </c>
      <c r="J168" s="7" t="s">
        <v>34</v>
      </c>
      <c r="K168" s="5">
        <v>0</v>
      </c>
      <c r="M168" t="s">
        <v>172</v>
      </c>
      <c r="N168" t="s">
        <v>172</v>
      </c>
      <c r="O168" s="3" t="s">
        <v>172</v>
      </c>
      <c r="P168" t="s">
        <v>172</v>
      </c>
      <c r="Q168" t="s">
        <v>172</v>
      </c>
      <c r="R168" t="s">
        <v>172</v>
      </c>
    </row>
    <row r="169" spans="1:18" x14ac:dyDescent="0.3">
      <c r="A169" s="7">
        <v>41214</v>
      </c>
      <c r="B169" s="7" t="s">
        <v>135</v>
      </c>
      <c r="C169" s="7">
        <v>0</v>
      </c>
      <c r="D169" s="7" t="s">
        <v>209</v>
      </c>
      <c r="E169" s="7" t="s">
        <v>209</v>
      </c>
      <c r="F169" s="7" t="s">
        <v>209</v>
      </c>
      <c r="G169" s="7" t="s">
        <v>209</v>
      </c>
      <c r="H169" s="7" t="s">
        <v>139</v>
      </c>
      <c r="I169" s="9">
        <v>46209</v>
      </c>
      <c r="J169" s="7" t="s">
        <v>34</v>
      </c>
      <c r="K169" s="5">
        <v>452.49</v>
      </c>
      <c r="M169" t="s">
        <v>172</v>
      </c>
      <c r="N169" t="s">
        <v>172</v>
      </c>
      <c r="O169" s="3" t="s">
        <v>172</v>
      </c>
      <c r="P169" t="s">
        <v>172</v>
      </c>
      <c r="Q169" t="s">
        <v>172</v>
      </c>
      <c r="R169" t="s">
        <v>172</v>
      </c>
    </row>
    <row r="170" spans="1:18" x14ac:dyDescent="0.3">
      <c r="A170" s="7">
        <v>41270</v>
      </c>
      <c r="B170" s="7" t="s">
        <v>27</v>
      </c>
      <c r="C170" s="7">
        <v>1211</v>
      </c>
      <c r="D170" s="7" t="s">
        <v>184</v>
      </c>
      <c r="E170" s="7" t="s">
        <v>29</v>
      </c>
      <c r="F170" s="7" t="s">
        <v>106</v>
      </c>
      <c r="G170" s="7" t="s">
        <v>30</v>
      </c>
      <c r="H170" s="7" t="s">
        <v>130</v>
      </c>
      <c r="I170" s="9">
        <v>46209</v>
      </c>
      <c r="J170" s="7" t="s">
        <v>34</v>
      </c>
      <c r="K170" s="5">
        <v>0</v>
      </c>
      <c r="M170" t="s">
        <v>172</v>
      </c>
      <c r="N170" t="s">
        <v>172</v>
      </c>
      <c r="O170" s="3" t="s">
        <v>172</v>
      </c>
      <c r="P170" t="s">
        <v>172</v>
      </c>
      <c r="Q170" t="s">
        <v>172</v>
      </c>
      <c r="R170" t="s">
        <v>172</v>
      </c>
    </row>
    <row r="171" spans="1:18" x14ac:dyDescent="0.3">
      <c r="A171" s="7">
        <v>41286</v>
      </c>
      <c r="B171" s="7" t="s">
        <v>27</v>
      </c>
      <c r="C171" s="7" t="s">
        <v>172</v>
      </c>
      <c r="D171" s="7" t="s">
        <v>210</v>
      </c>
      <c r="E171" s="7" t="s">
        <v>29</v>
      </c>
      <c r="F171" s="7" t="s">
        <v>109</v>
      </c>
      <c r="G171" s="7" t="s">
        <v>30</v>
      </c>
      <c r="H171" s="7" t="s">
        <v>130</v>
      </c>
      <c r="I171" s="9">
        <v>46209</v>
      </c>
      <c r="J171" s="7" t="s">
        <v>34</v>
      </c>
      <c r="K171" s="5">
        <v>0</v>
      </c>
      <c r="M171" t="s">
        <v>172</v>
      </c>
      <c r="N171" t="s">
        <v>172</v>
      </c>
      <c r="O171" s="3" t="s">
        <v>172</v>
      </c>
      <c r="P171" t="s">
        <v>172</v>
      </c>
      <c r="Q171" t="s">
        <v>172</v>
      </c>
      <c r="R171" t="s">
        <v>172</v>
      </c>
    </row>
    <row r="172" spans="1:18" x14ac:dyDescent="0.3">
      <c r="A172" s="7">
        <v>41688</v>
      </c>
      <c r="B172" s="7" t="s">
        <v>27</v>
      </c>
      <c r="C172" s="7" t="s">
        <v>172</v>
      </c>
      <c r="D172" s="7" t="s">
        <v>210</v>
      </c>
      <c r="E172" s="7" t="s">
        <v>29</v>
      </c>
      <c r="F172" s="7" t="s">
        <v>109</v>
      </c>
      <c r="G172" s="7" t="s">
        <v>30</v>
      </c>
      <c r="H172" s="7" t="s">
        <v>130</v>
      </c>
      <c r="I172" s="9">
        <v>46209</v>
      </c>
      <c r="J172" s="7" t="s">
        <v>34</v>
      </c>
      <c r="K172" s="5">
        <v>0</v>
      </c>
      <c r="M172" t="s">
        <v>172</v>
      </c>
      <c r="N172" t="s">
        <v>172</v>
      </c>
      <c r="O172" s="3" t="s">
        <v>172</v>
      </c>
      <c r="P172" t="s">
        <v>172</v>
      </c>
      <c r="Q172" t="s">
        <v>172</v>
      </c>
      <c r="R172" t="s">
        <v>172</v>
      </c>
    </row>
    <row r="173" spans="1:18" x14ac:dyDescent="0.3">
      <c r="A173" s="7">
        <v>41959</v>
      </c>
      <c r="B173" s="7" t="s">
        <v>27</v>
      </c>
      <c r="C173" s="7">
        <v>1575</v>
      </c>
      <c r="D173" s="7" t="s">
        <v>137</v>
      </c>
      <c r="E173" s="7" t="s">
        <v>29</v>
      </c>
      <c r="F173" s="7" t="s">
        <v>177</v>
      </c>
      <c r="G173" s="7" t="s">
        <v>30</v>
      </c>
      <c r="H173" s="7" t="s">
        <v>130</v>
      </c>
      <c r="I173" s="9">
        <v>46209</v>
      </c>
      <c r="J173" s="7" t="s">
        <v>34</v>
      </c>
      <c r="K173" s="5">
        <v>0</v>
      </c>
      <c r="M173" t="s">
        <v>172</v>
      </c>
      <c r="N173" t="s">
        <v>172</v>
      </c>
      <c r="O173" s="3" t="s">
        <v>172</v>
      </c>
      <c r="P173" t="s">
        <v>172</v>
      </c>
      <c r="Q173" t="s">
        <v>172</v>
      </c>
      <c r="R173" t="s">
        <v>172</v>
      </c>
    </row>
    <row r="174" spans="1:18" x14ac:dyDescent="0.3">
      <c r="A174" s="7">
        <v>42118</v>
      </c>
      <c r="B174" s="7" t="s">
        <v>27</v>
      </c>
      <c r="C174" s="7">
        <v>1464</v>
      </c>
      <c r="D174" s="7" t="s">
        <v>64</v>
      </c>
      <c r="E174" s="7" t="s">
        <v>29</v>
      </c>
      <c r="F174" s="7" t="s">
        <v>110</v>
      </c>
      <c r="G174" s="7" t="s">
        <v>30</v>
      </c>
      <c r="H174" s="7" t="s">
        <v>130</v>
      </c>
      <c r="I174" s="9">
        <v>46209</v>
      </c>
      <c r="J174" s="7" t="s">
        <v>34</v>
      </c>
      <c r="K174" s="5">
        <v>0</v>
      </c>
      <c r="M174" t="s">
        <v>172</v>
      </c>
      <c r="N174" t="s">
        <v>172</v>
      </c>
      <c r="O174" s="3" t="s">
        <v>172</v>
      </c>
      <c r="P174" t="s">
        <v>172</v>
      </c>
      <c r="Q174" t="s">
        <v>172</v>
      </c>
      <c r="R174" t="s">
        <v>172</v>
      </c>
    </row>
    <row r="175" spans="1:18" x14ac:dyDescent="0.3">
      <c r="A175" s="7">
        <v>42574</v>
      </c>
      <c r="B175" s="7" t="s">
        <v>135</v>
      </c>
      <c r="C175" s="7">
        <v>0</v>
      </c>
      <c r="D175" s="7" t="s">
        <v>209</v>
      </c>
      <c r="E175" s="7" t="s">
        <v>209</v>
      </c>
      <c r="F175" s="7" t="s">
        <v>209</v>
      </c>
      <c r="G175" s="7" t="s">
        <v>209</v>
      </c>
      <c r="H175" s="7" t="s">
        <v>130</v>
      </c>
      <c r="I175" s="9">
        <v>46209</v>
      </c>
      <c r="J175" s="7" t="s">
        <v>34</v>
      </c>
      <c r="K175" s="5">
        <v>0</v>
      </c>
      <c r="M175" t="s">
        <v>172</v>
      </c>
      <c r="N175" t="s">
        <v>172</v>
      </c>
      <c r="O175" s="3" t="s">
        <v>172</v>
      </c>
      <c r="P175" t="s">
        <v>172</v>
      </c>
      <c r="Q175" t="s">
        <v>172</v>
      </c>
      <c r="R175" t="s">
        <v>172</v>
      </c>
    </row>
    <row r="176" spans="1:18" x14ac:dyDescent="0.3">
      <c r="A176" s="7">
        <v>44225</v>
      </c>
      <c r="B176" s="7" t="s">
        <v>27</v>
      </c>
      <c r="C176" s="7" t="s">
        <v>172</v>
      </c>
      <c r="D176" s="7" t="s">
        <v>147</v>
      </c>
      <c r="E176" s="7" t="s">
        <v>48</v>
      </c>
      <c r="F176" s="7" t="s">
        <v>110</v>
      </c>
      <c r="G176" s="7" t="s">
        <v>52</v>
      </c>
      <c r="H176" s="7" t="s">
        <v>139</v>
      </c>
      <c r="I176" s="9">
        <v>46209</v>
      </c>
      <c r="J176" s="7" t="s">
        <v>34</v>
      </c>
      <c r="K176" s="5">
        <v>160.75</v>
      </c>
      <c r="M176" t="s">
        <v>172</v>
      </c>
      <c r="N176" t="s">
        <v>172</v>
      </c>
      <c r="O176" s="3" t="s">
        <v>172</v>
      </c>
      <c r="P176" t="s">
        <v>172</v>
      </c>
      <c r="Q176" t="s">
        <v>172</v>
      </c>
      <c r="R176" t="s">
        <v>172</v>
      </c>
    </row>
    <row r="177" spans="1:18" x14ac:dyDescent="0.3">
      <c r="A177" s="7">
        <v>44732</v>
      </c>
      <c r="B177" s="7" t="s">
        <v>27</v>
      </c>
      <c r="C177" s="7">
        <v>1273</v>
      </c>
      <c r="D177" s="7" t="s">
        <v>86</v>
      </c>
      <c r="E177" s="7" t="s">
        <v>48</v>
      </c>
      <c r="F177" s="7" t="s">
        <v>109</v>
      </c>
      <c r="G177" s="7" t="s">
        <v>42</v>
      </c>
      <c r="H177" s="7" t="s">
        <v>139</v>
      </c>
      <c r="I177" s="9">
        <v>46209</v>
      </c>
      <c r="J177" s="7" t="s">
        <v>34</v>
      </c>
      <c r="K177" s="5">
        <v>0</v>
      </c>
      <c r="M177" t="s">
        <v>172</v>
      </c>
      <c r="N177" t="s">
        <v>172</v>
      </c>
      <c r="O177" s="3" t="s">
        <v>172</v>
      </c>
      <c r="P177" t="s">
        <v>172</v>
      </c>
      <c r="Q177" t="s">
        <v>172</v>
      </c>
      <c r="R177" t="s">
        <v>172</v>
      </c>
    </row>
    <row r="178" spans="1:18" x14ac:dyDescent="0.3">
      <c r="A178" s="7">
        <v>45241</v>
      </c>
      <c r="B178" s="7" t="s">
        <v>27</v>
      </c>
      <c r="C178" s="7">
        <v>1607</v>
      </c>
      <c r="D178" s="7" t="s">
        <v>121</v>
      </c>
      <c r="E178" s="7" t="s">
        <v>48</v>
      </c>
      <c r="F178" s="7" t="s">
        <v>109</v>
      </c>
      <c r="G178" s="7" t="s">
        <v>42</v>
      </c>
      <c r="H178" s="7" t="s">
        <v>139</v>
      </c>
      <c r="I178" s="9">
        <v>46209</v>
      </c>
      <c r="J178" s="7" t="s">
        <v>34</v>
      </c>
      <c r="K178" s="5">
        <v>0</v>
      </c>
      <c r="M178" t="s">
        <v>172</v>
      </c>
      <c r="N178" t="s">
        <v>172</v>
      </c>
      <c r="O178" s="3" t="s">
        <v>172</v>
      </c>
      <c r="P178" t="s">
        <v>172</v>
      </c>
      <c r="Q178" t="s">
        <v>172</v>
      </c>
      <c r="R178" t="s">
        <v>172</v>
      </c>
    </row>
    <row r="179" spans="1:18" x14ac:dyDescent="0.3">
      <c r="A179" s="7">
        <v>45275</v>
      </c>
      <c r="B179" s="7" t="s">
        <v>27</v>
      </c>
      <c r="C179" s="7" t="s">
        <v>172</v>
      </c>
      <c r="D179" s="7" t="s">
        <v>210</v>
      </c>
      <c r="E179" s="7" t="s">
        <v>29</v>
      </c>
      <c r="F179" s="7" t="s">
        <v>109</v>
      </c>
      <c r="G179" s="7" t="s">
        <v>30</v>
      </c>
      <c r="H179" s="7" t="s">
        <v>139</v>
      </c>
      <c r="I179" s="9">
        <v>46209</v>
      </c>
      <c r="J179" s="7" t="s">
        <v>34</v>
      </c>
      <c r="K179" s="5">
        <v>0</v>
      </c>
      <c r="M179" t="s">
        <v>172</v>
      </c>
      <c r="N179" t="s">
        <v>172</v>
      </c>
      <c r="O179" s="3" t="s">
        <v>172</v>
      </c>
      <c r="P179" t="s">
        <v>172</v>
      </c>
      <c r="Q179" t="s">
        <v>172</v>
      </c>
      <c r="R179" t="s">
        <v>172</v>
      </c>
    </row>
    <row r="180" spans="1:18" x14ac:dyDescent="0.3">
      <c r="A180" s="7">
        <v>45678</v>
      </c>
      <c r="B180" s="7" t="s">
        <v>27</v>
      </c>
      <c r="C180" s="7">
        <v>9920</v>
      </c>
      <c r="D180" s="7" t="s">
        <v>146</v>
      </c>
      <c r="E180" s="7" t="s">
        <v>48</v>
      </c>
      <c r="F180" s="7" t="s">
        <v>110</v>
      </c>
      <c r="G180" s="7" t="s">
        <v>52</v>
      </c>
      <c r="H180" s="7" t="s">
        <v>139</v>
      </c>
      <c r="I180" s="9">
        <v>46209</v>
      </c>
      <c r="J180" s="7" t="s">
        <v>34</v>
      </c>
      <c r="K180" s="5">
        <v>0</v>
      </c>
      <c r="M180" t="s">
        <v>172</v>
      </c>
      <c r="N180" t="s">
        <v>172</v>
      </c>
      <c r="O180" s="3" t="s">
        <v>172</v>
      </c>
      <c r="P180" t="s">
        <v>172</v>
      </c>
      <c r="Q180" t="s">
        <v>172</v>
      </c>
      <c r="R180" t="s">
        <v>172</v>
      </c>
    </row>
    <row r="181" spans="1:18" x14ac:dyDescent="0.3">
      <c r="A181" s="7">
        <v>11538</v>
      </c>
      <c r="B181" s="7" t="s">
        <v>27</v>
      </c>
      <c r="C181" s="7">
        <v>1575</v>
      </c>
      <c r="D181" s="7" t="s">
        <v>137</v>
      </c>
      <c r="E181" s="7" t="s">
        <v>138</v>
      </c>
      <c r="F181" s="7" t="s">
        <v>177</v>
      </c>
      <c r="G181" s="7" t="s">
        <v>30</v>
      </c>
      <c r="H181" s="7" t="s">
        <v>148</v>
      </c>
      <c r="I181" s="9">
        <v>46210</v>
      </c>
      <c r="J181" s="7" t="s">
        <v>34</v>
      </c>
      <c r="K181" s="5">
        <v>0</v>
      </c>
      <c r="M181" t="s">
        <v>172</v>
      </c>
      <c r="N181" t="s">
        <v>172</v>
      </c>
      <c r="O181" s="3" t="s">
        <v>172</v>
      </c>
      <c r="P181" t="s">
        <v>172</v>
      </c>
      <c r="Q181" t="s">
        <v>172</v>
      </c>
      <c r="R181" t="s">
        <v>172</v>
      </c>
    </row>
    <row r="182" spans="1:18" x14ac:dyDescent="0.3">
      <c r="A182" s="7">
        <v>27873</v>
      </c>
      <c r="B182" s="7" t="s">
        <v>135</v>
      </c>
      <c r="C182" s="7">
        <v>0</v>
      </c>
      <c r="D182" s="7" t="s">
        <v>209</v>
      </c>
      <c r="E182" s="7" t="s">
        <v>209</v>
      </c>
      <c r="F182" s="7" t="s">
        <v>209</v>
      </c>
      <c r="G182" s="7" t="s">
        <v>209</v>
      </c>
      <c r="H182" s="7" t="s">
        <v>148</v>
      </c>
      <c r="I182" s="9">
        <v>46210</v>
      </c>
      <c r="J182" s="7" t="s">
        <v>34</v>
      </c>
      <c r="K182" s="5">
        <v>0</v>
      </c>
      <c r="M182" t="s">
        <v>172</v>
      </c>
      <c r="N182" t="s">
        <v>172</v>
      </c>
      <c r="O182" s="3" t="s">
        <v>172</v>
      </c>
      <c r="P182" t="s">
        <v>172</v>
      </c>
      <c r="Q182" t="s">
        <v>172</v>
      </c>
      <c r="R182" t="s">
        <v>172</v>
      </c>
    </row>
    <row r="183" spans="1:18" x14ac:dyDescent="0.3">
      <c r="A183" s="7">
        <v>33796</v>
      </c>
      <c r="B183" s="7" t="s">
        <v>27</v>
      </c>
      <c r="C183" s="7">
        <v>1575</v>
      </c>
      <c r="D183" s="7" t="s">
        <v>137</v>
      </c>
      <c r="E183" s="7" t="s">
        <v>138</v>
      </c>
      <c r="F183" s="7" t="s">
        <v>177</v>
      </c>
      <c r="G183" s="7" t="s">
        <v>30</v>
      </c>
      <c r="H183" s="7" t="s">
        <v>148</v>
      </c>
      <c r="I183" s="9">
        <v>46210</v>
      </c>
      <c r="J183" s="7" t="s">
        <v>34</v>
      </c>
      <c r="K183" s="5">
        <v>0</v>
      </c>
      <c r="M183" t="s">
        <v>172</v>
      </c>
      <c r="N183" t="s">
        <v>172</v>
      </c>
      <c r="O183" s="3" t="s">
        <v>172</v>
      </c>
      <c r="P183" t="s">
        <v>172</v>
      </c>
      <c r="Q183" t="s">
        <v>172</v>
      </c>
      <c r="R183" t="s">
        <v>172</v>
      </c>
    </row>
    <row r="184" spans="1:18" x14ac:dyDescent="0.3">
      <c r="A184" s="7">
        <v>35337</v>
      </c>
      <c r="B184" s="7" t="s">
        <v>27</v>
      </c>
      <c r="C184" s="7">
        <v>1575</v>
      </c>
      <c r="D184" s="7" t="s">
        <v>137</v>
      </c>
      <c r="E184" s="7" t="s">
        <v>138</v>
      </c>
      <c r="F184" s="7" t="s">
        <v>177</v>
      </c>
      <c r="G184" s="7" t="s">
        <v>30</v>
      </c>
      <c r="H184" s="7" t="s">
        <v>148</v>
      </c>
      <c r="I184" s="9">
        <v>46210</v>
      </c>
      <c r="J184" s="7" t="s">
        <v>34</v>
      </c>
      <c r="K184" s="5">
        <v>0</v>
      </c>
      <c r="M184" t="s">
        <v>172</v>
      </c>
      <c r="N184" t="s">
        <v>172</v>
      </c>
      <c r="O184" s="3" t="s">
        <v>172</v>
      </c>
      <c r="P184" t="s">
        <v>172</v>
      </c>
      <c r="Q184" t="s">
        <v>172</v>
      </c>
      <c r="R184" t="s">
        <v>172</v>
      </c>
    </row>
    <row r="185" spans="1:18" x14ac:dyDescent="0.3">
      <c r="A185" s="7">
        <v>36702</v>
      </c>
      <c r="B185" s="7" t="s">
        <v>27</v>
      </c>
      <c r="C185" s="7">
        <v>1575</v>
      </c>
      <c r="D185" s="7" t="s">
        <v>137</v>
      </c>
      <c r="E185" s="7" t="s">
        <v>138</v>
      </c>
      <c r="F185" s="7" t="s">
        <v>177</v>
      </c>
      <c r="G185" s="7" t="s">
        <v>30</v>
      </c>
      <c r="H185" s="7" t="s">
        <v>148</v>
      </c>
      <c r="I185" s="9">
        <v>46210</v>
      </c>
      <c r="J185" s="7" t="s">
        <v>34</v>
      </c>
      <c r="K185" s="5">
        <v>0</v>
      </c>
      <c r="M185" t="s">
        <v>172</v>
      </c>
      <c r="N185" t="s">
        <v>172</v>
      </c>
      <c r="O185" s="3" t="s">
        <v>172</v>
      </c>
      <c r="P185" t="s">
        <v>172</v>
      </c>
      <c r="Q185" t="s">
        <v>172</v>
      </c>
      <c r="R185" t="s">
        <v>172</v>
      </c>
    </row>
    <row r="186" spans="1:18" x14ac:dyDescent="0.3">
      <c r="A186" s="7">
        <v>38651</v>
      </c>
      <c r="B186" s="7" t="s">
        <v>135</v>
      </c>
      <c r="C186" s="7">
        <v>0</v>
      </c>
      <c r="D186" s="7" t="s">
        <v>209</v>
      </c>
      <c r="E186" s="7" t="s">
        <v>209</v>
      </c>
      <c r="F186" s="7" t="s">
        <v>209</v>
      </c>
      <c r="G186" s="7" t="s">
        <v>209</v>
      </c>
      <c r="H186" s="7" t="s">
        <v>148</v>
      </c>
      <c r="I186" s="9">
        <v>46210</v>
      </c>
      <c r="J186" s="7" t="s">
        <v>34</v>
      </c>
      <c r="K186" s="5">
        <v>0</v>
      </c>
      <c r="M186" t="s">
        <v>172</v>
      </c>
      <c r="N186" t="s">
        <v>172</v>
      </c>
      <c r="O186" s="3" t="s">
        <v>172</v>
      </c>
      <c r="P186" t="s">
        <v>172</v>
      </c>
      <c r="Q186" t="s">
        <v>172</v>
      </c>
      <c r="R186" t="s">
        <v>172</v>
      </c>
    </row>
    <row r="187" spans="1:18" x14ac:dyDescent="0.3">
      <c r="A187" s="7">
        <v>39661</v>
      </c>
      <c r="B187" s="7" t="s">
        <v>27</v>
      </c>
      <c r="C187" s="7">
        <v>1575</v>
      </c>
      <c r="D187" s="7" t="s">
        <v>137</v>
      </c>
      <c r="E187" s="7" t="s">
        <v>138</v>
      </c>
      <c r="F187" s="7" t="s">
        <v>177</v>
      </c>
      <c r="G187" s="7" t="s">
        <v>30</v>
      </c>
      <c r="H187" s="7" t="s">
        <v>148</v>
      </c>
      <c r="I187" s="9">
        <v>46210</v>
      </c>
      <c r="J187" s="7" t="s">
        <v>34</v>
      </c>
      <c r="K187" s="5">
        <v>0</v>
      </c>
      <c r="M187" t="s">
        <v>172</v>
      </c>
      <c r="N187" t="s">
        <v>172</v>
      </c>
      <c r="O187" s="3" t="s">
        <v>172</v>
      </c>
      <c r="P187" t="s">
        <v>172</v>
      </c>
      <c r="Q187" t="s">
        <v>172</v>
      </c>
      <c r="R187" t="s">
        <v>172</v>
      </c>
    </row>
    <row r="188" spans="1:18" x14ac:dyDescent="0.3">
      <c r="A188" s="7">
        <v>40009</v>
      </c>
      <c r="B188" s="7" t="s">
        <v>27</v>
      </c>
      <c r="C188" s="7">
        <v>1575</v>
      </c>
      <c r="D188" s="7" t="s">
        <v>137</v>
      </c>
      <c r="E188" s="7" t="s">
        <v>138</v>
      </c>
      <c r="F188" s="7" t="s">
        <v>177</v>
      </c>
      <c r="G188" s="7" t="s">
        <v>30</v>
      </c>
      <c r="H188" s="7" t="s">
        <v>148</v>
      </c>
      <c r="I188" s="9">
        <v>46210</v>
      </c>
      <c r="J188" s="7" t="s">
        <v>34</v>
      </c>
      <c r="K188" s="5">
        <v>0</v>
      </c>
      <c r="M188" t="s">
        <v>172</v>
      </c>
      <c r="N188" t="s">
        <v>172</v>
      </c>
      <c r="O188" s="3" t="s">
        <v>172</v>
      </c>
      <c r="P188" t="s">
        <v>172</v>
      </c>
      <c r="Q188" t="s">
        <v>172</v>
      </c>
      <c r="R188" t="s">
        <v>172</v>
      </c>
    </row>
    <row r="189" spans="1:18" x14ac:dyDescent="0.3">
      <c r="A189" s="7">
        <v>41007</v>
      </c>
      <c r="B189" s="7" t="s">
        <v>135</v>
      </c>
      <c r="C189" s="7">
        <v>0</v>
      </c>
      <c r="D189" s="7" t="s">
        <v>209</v>
      </c>
      <c r="E189" s="7" t="s">
        <v>209</v>
      </c>
      <c r="F189" s="7" t="s">
        <v>209</v>
      </c>
      <c r="G189" s="7" t="s">
        <v>209</v>
      </c>
      <c r="H189" s="7" t="s">
        <v>148</v>
      </c>
      <c r="I189" s="9">
        <v>46210</v>
      </c>
      <c r="J189" s="7" t="s">
        <v>34</v>
      </c>
      <c r="K189" s="5">
        <v>0</v>
      </c>
      <c r="M189" t="s">
        <v>172</v>
      </c>
      <c r="N189" t="s">
        <v>172</v>
      </c>
      <c r="O189" s="3" t="s">
        <v>172</v>
      </c>
      <c r="P189" t="s">
        <v>172</v>
      </c>
      <c r="Q189" t="s">
        <v>172</v>
      </c>
      <c r="R189" t="s">
        <v>172</v>
      </c>
    </row>
    <row r="190" spans="1:18" x14ac:dyDescent="0.3">
      <c r="A190" s="7">
        <v>41120</v>
      </c>
      <c r="B190" s="7" t="s">
        <v>27</v>
      </c>
      <c r="C190" s="7">
        <v>1575</v>
      </c>
      <c r="D190" s="7" t="s">
        <v>137</v>
      </c>
      <c r="E190" s="7" t="s">
        <v>138</v>
      </c>
      <c r="F190" s="7" t="s">
        <v>177</v>
      </c>
      <c r="G190" s="7" t="s">
        <v>30</v>
      </c>
      <c r="H190" s="7" t="s">
        <v>148</v>
      </c>
      <c r="I190" s="9">
        <v>46210</v>
      </c>
      <c r="J190" s="7" t="s">
        <v>34</v>
      </c>
      <c r="K190" s="5">
        <v>0</v>
      </c>
      <c r="M190" t="s">
        <v>172</v>
      </c>
      <c r="N190" t="s">
        <v>172</v>
      </c>
      <c r="O190" s="3" t="s">
        <v>172</v>
      </c>
      <c r="P190" t="s">
        <v>172</v>
      </c>
      <c r="Q190" t="s">
        <v>172</v>
      </c>
      <c r="R190" t="s">
        <v>172</v>
      </c>
    </row>
    <row r="191" spans="1:18" x14ac:dyDescent="0.3">
      <c r="A191" s="7">
        <v>41331</v>
      </c>
      <c r="B191" s="7" t="s">
        <v>27</v>
      </c>
      <c r="C191" s="7">
        <v>1575</v>
      </c>
      <c r="D191" s="7" t="s">
        <v>137</v>
      </c>
      <c r="E191" s="7" t="s">
        <v>138</v>
      </c>
      <c r="F191" s="7" t="s">
        <v>177</v>
      </c>
      <c r="G191" s="7" t="s">
        <v>30</v>
      </c>
      <c r="H191" s="7" t="s">
        <v>148</v>
      </c>
      <c r="I191" s="9">
        <v>46210</v>
      </c>
      <c r="J191" s="7" t="s">
        <v>34</v>
      </c>
      <c r="K191" s="5">
        <v>0</v>
      </c>
      <c r="M191" t="s">
        <v>172</v>
      </c>
      <c r="N191" t="s">
        <v>172</v>
      </c>
      <c r="O191" s="3" t="s">
        <v>172</v>
      </c>
      <c r="P191" t="s">
        <v>172</v>
      </c>
      <c r="Q191" t="s">
        <v>172</v>
      </c>
      <c r="R191" t="s">
        <v>172</v>
      </c>
    </row>
    <row r="192" spans="1:18" x14ac:dyDescent="0.3">
      <c r="A192" s="7">
        <v>41729</v>
      </c>
      <c r="B192" s="7" t="s">
        <v>27</v>
      </c>
      <c r="C192" s="7">
        <v>1575</v>
      </c>
      <c r="D192" s="7" t="s">
        <v>137</v>
      </c>
      <c r="E192" s="7" t="s">
        <v>138</v>
      </c>
      <c r="F192" s="7" t="s">
        <v>177</v>
      </c>
      <c r="G192" s="7" t="s">
        <v>30</v>
      </c>
      <c r="H192" s="7" t="s">
        <v>148</v>
      </c>
      <c r="I192" s="9">
        <v>46210</v>
      </c>
      <c r="J192" s="7" t="s">
        <v>34</v>
      </c>
      <c r="K192" s="5">
        <v>0</v>
      </c>
      <c r="M192" t="s">
        <v>172</v>
      </c>
      <c r="N192" t="s">
        <v>172</v>
      </c>
      <c r="O192" s="3" t="s">
        <v>172</v>
      </c>
      <c r="P192" t="s">
        <v>172</v>
      </c>
      <c r="Q192" t="s">
        <v>172</v>
      </c>
      <c r="R192" t="s">
        <v>172</v>
      </c>
    </row>
    <row r="193" spans="1:18" x14ac:dyDescent="0.3">
      <c r="A193" s="7">
        <v>41880</v>
      </c>
      <c r="B193" s="7" t="s">
        <v>27</v>
      </c>
      <c r="C193" s="7">
        <v>1575</v>
      </c>
      <c r="D193" s="7" t="s">
        <v>137</v>
      </c>
      <c r="E193" s="7" t="s">
        <v>138</v>
      </c>
      <c r="F193" s="7" t="s">
        <v>177</v>
      </c>
      <c r="G193" s="7" t="s">
        <v>30</v>
      </c>
      <c r="H193" s="7" t="s">
        <v>148</v>
      </c>
      <c r="I193" s="9">
        <v>46210</v>
      </c>
      <c r="J193" s="7" t="s">
        <v>34</v>
      </c>
      <c r="K193" s="5">
        <v>0</v>
      </c>
      <c r="M193" t="s">
        <v>172</v>
      </c>
      <c r="N193" t="s">
        <v>172</v>
      </c>
      <c r="O193" s="3" t="s">
        <v>172</v>
      </c>
      <c r="P193" t="s">
        <v>172</v>
      </c>
      <c r="Q193" t="s">
        <v>172</v>
      </c>
      <c r="R193" t="s">
        <v>172</v>
      </c>
    </row>
    <row r="194" spans="1:18" x14ac:dyDescent="0.3">
      <c r="A194" s="7">
        <v>42237</v>
      </c>
      <c r="B194" s="7" t="s">
        <v>135</v>
      </c>
      <c r="C194" s="7">
        <v>0</v>
      </c>
      <c r="D194" s="7" t="s">
        <v>209</v>
      </c>
      <c r="E194" s="7" t="s">
        <v>209</v>
      </c>
      <c r="F194" s="7" t="s">
        <v>209</v>
      </c>
      <c r="G194" s="7" t="s">
        <v>209</v>
      </c>
      <c r="H194" s="7" t="s">
        <v>148</v>
      </c>
      <c r="I194" s="9">
        <v>46210</v>
      </c>
      <c r="J194" s="7" t="s">
        <v>34</v>
      </c>
      <c r="K194" s="5">
        <v>0</v>
      </c>
      <c r="M194" t="s">
        <v>172</v>
      </c>
      <c r="N194" t="s">
        <v>172</v>
      </c>
      <c r="O194" s="3" t="s">
        <v>172</v>
      </c>
      <c r="P194" t="s">
        <v>172</v>
      </c>
      <c r="Q194" t="s">
        <v>172</v>
      </c>
      <c r="R194" t="s">
        <v>172</v>
      </c>
    </row>
    <row r="195" spans="1:18" x14ac:dyDescent="0.3">
      <c r="A195" s="7">
        <v>43093</v>
      </c>
      <c r="B195" s="7" t="s">
        <v>135</v>
      </c>
      <c r="C195" s="7">
        <v>0</v>
      </c>
      <c r="D195" s="7" t="s">
        <v>209</v>
      </c>
      <c r="E195" s="7" t="s">
        <v>209</v>
      </c>
      <c r="F195" s="7" t="s">
        <v>209</v>
      </c>
      <c r="G195" s="7" t="s">
        <v>209</v>
      </c>
      <c r="H195" s="7" t="s">
        <v>148</v>
      </c>
      <c r="I195" s="9">
        <v>46210</v>
      </c>
      <c r="J195" s="7" t="s">
        <v>34</v>
      </c>
      <c r="K195" s="5">
        <v>0</v>
      </c>
      <c r="M195" t="s">
        <v>172</v>
      </c>
      <c r="N195" t="s">
        <v>172</v>
      </c>
      <c r="O195" s="3" t="s">
        <v>172</v>
      </c>
      <c r="P195" t="s">
        <v>172</v>
      </c>
      <c r="Q195" t="s">
        <v>172</v>
      </c>
      <c r="R195" t="s">
        <v>172</v>
      </c>
    </row>
    <row r="196" spans="1:18" x14ac:dyDescent="0.3">
      <c r="A196" s="7">
        <v>43289</v>
      </c>
      <c r="B196" s="7" t="s">
        <v>27</v>
      </c>
      <c r="C196" s="7">
        <v>1464</v>
      </c>
      <c r="D196" s="7" t="s">
        <v>64</v>
      </c>
      <c r="E196" s="7" t="s">
        <v>29</v>
      </c>
      <c r="F196" s="7" t="s">
        <v>110</v>
      </c>
      <c r="G196" s="7" t="s">
        <v>30</v>
      </c>
      <c r="H196" s="7" t="s">
        <v>148</v>
      </c>
      <c r="I196" s="9">
        <v>46210</v>
      </c>
      <c r="J196" s="7" t="s">
        <v>34</v>
      </c>
      <c r="K196" s="5">
        <v>0</v>
      </c>
      <c r="M196" t="s">
        <v>172</v>
      </c>
      <c r="N196" t="s">
        <v>172</v>
      </c>
      <c r="O196" s="3" t="s">
        <v>172</v>
      </c>
      <c r="P196" t="s">
        <v>172</v>
      </c>
      <c r="Q196" t="s">
        <v>172</v>
      </c>
      <c r="R196" t="s">
        <v>172</v>
      </c>
    </row>
    <row r="197" spans="1:18" x14ac:dyDescent="0.3">
      <c r="A197" s="7">
        <v>35940</v>
      </c>
      <c r="B197" s="7" t="s">
        <v>27</v>
      </c>
      <c r="C197" s="7">
        <v>1575</v>
      </c>
      <c r="D197" s="7" t="s">
        <v>137</v>
      </c>
      <c r="E197" s="7" t="s">
        <v>138</v>
      </c>
      <c r="F197" s="7" t="s">
        <v>177</v>
      </c>
      <c r="G197" s="7" t="s">
        <v>30</v>
      </c>
      <c r="H197" s="7" t="s">
        <v>153</v>
      </c>
      <c r="I197" s="9">
        <v>46211</v>
      </c>
      <c r="J197" s="7" t="s">
        <v>34</v>
      </c>
      <c r="K197" s="5">
        <v>0</v>
      </c>
      <c r="M197" t="s">
        <v>172</v>
      </c>
      <c r="N197" t="s">
        <v>172</v>
      </c>
      <c r="O197" s="3" t="s">
        <v>172</v>
      </c>
      <c r="P197" t="s">
        <v>172</v>
      </c>
      <c r="Q197" t="s">
        <v>172</v>
      </c>
      <c r="R197" t="s">
        <v>172</v>
      </c>
    </row>
    <row r="198" spans="1:18" x14ac:dyDescent="0.3">
      <c r="A198" s="7">
        <v>36075</v>
      </c>
      <c r="B198" s="7" t="s">
        <v>27</v>
      </c>
      <c r="C198" s="7">
        <v>1575</v>
      </c>
      <c r="D198" s="7" t="s">
        <v>137</v>
      </c>
      <c r="E198" s="7" t="s">
        <v>138</v>
      </c>
      <c r="F198" s="7" t="s">
        <v>177</v>
      </c>
      <c r="G198" s="7" t="s">
        <v>30</v>
      </c>
      <c r="H198" s="7" t="s">
        <v>153</v>
      </c>
      <c r="I198" s="9">
        <v>46211</v>
      </c>
      <c r="J198" s="7" t="s">
        <v>34</v>
      </c>
      <c r="K198" s="5">
        <v>0</v>
      </c>
      <c r="M198" t="s">
        <v>172</v>
      </c>
      <c r="N198" t="s">
        <v>172</v>
      </c>
      <c r="O198" s="3" t="s">
        <v>172</v>
      </c>
      <c r="P198" t="s">
        <v>172</v>
      </c>
      <c r="Q198" t="s">
        <v>172</v>
      </c>
      <c r="R198" t="s">
        <v>172</v>
      </c>
    </row>
    <row r="199" spans="1:18" x14ac:dyDescent="0.3">
      <c r="A199" s="7">
        <v>39734</v>
      </c>
      <c r="B199" s="7" t="s">
        <v>135</v>
      </c>
      <c r="C199" s="7">
        <v>0</v>
      </c>
      <c r="D199" s="7" t="s">
        <v>209</v>
      </c>
      <c r="E199" s="7" t="s">
        <v>209</v>
      </c>
      <c r="F199" s="7" t="s">
        <v>209</v>
      </c>
      <c r="G199" s="7" t="s">
        <v>209</v>
      </c>
      <c r="H199" s="7" t="s">
        <v>153</v>
      </c>
      <c r="I199" s="9">
        <v>46211</v>
      </c>
      <c r="J199" s="7" t="s">
        <v>34</v>
      </c>
      <c r="K199" s="5">
        <v>0</v>
      </c>
      <c r="M199" t="s">
        <v>172</v>
      </c>
      <c r="N199" t="s">
        <v>172</v>
      </c>
      <c r="O199" s="3" t="s">
        <v>172</v>
      </c>
      <c r="P199" t="s">
        <v>172</v>
      </c>
      <c r="Q199" t="s">
        <v>172</v>
      </c>
      <c r="R199" t="s">
        <v>172</v>
      </c>
    </row>
    <row r="200" spans="1:18" x14ac:dyDescent="0.3">
      <c r="A200" s="7">
        <v>40333</v>
      </c>
      <c r="B200" s="7" t="s">
        <v>135</v>
      </c>
      <c r="C200" s="7">
        <v>0</v>
      </c>
      <c r="D200" s="7" t="s">
        <v>209</v>
      </c>
      <c r="E200" s="7" t="s">
        <v>209</v>
      </c>
      <c r="F200" s="7" t="s">
        <v>209</v>
      </c>
      <c r="G200" s="7" t="s">
        <v>209</v>
      </c>
      <c r="H200" s="7" t="s">
        <v>158</v>
      </c>
      <c r="I200" s="9">
        <v>46211</v>
      </c>
      <c r="J200" s="7" t="s">
        <v>34</v>
      </c>
      <c r="K200" s="5">
        <v>0</v>
      </c>
      <c r="M200" t="s">
        <v>172</v>
      </c>
      <c r="N200" t="s">
        <v>172</v>
      </c>
      <c r="O200" s="3" t="s">
        <v>172</v>
      </c>
      <c r="P200" t="s">
        <v>172</v>
      </c>
      <c r="Q200" t="s">
        <v>172</v>
      </c>
      <c r="R200" t="s">
        <v>172</v>
      </c>
    </row>
    <row r="201" spans="1:18" x14ac:dyDescent="0.3">
      <c r="A201" s="7">
        <v>40362</v>
      </c>
      <c r="B201" s="7" t="s">
        <v>27</v>
      </c>
      <c r="C201" s="7">
        <v>1278</v>
      </c>
      <c r="D201" s="7" t="s">
        <v>66</v>
      </c>
      <c r="E201" s="7" t="s">
        <v>48</v>
      </c>
      <c r="F201" s="7" t="s">
        <v>111</v>
      </c>
      <c r="G201" s="7" t="s">
        <v>56</v>
      </c>
      <c r="H201" s="7" t="s">
        <v>158</v>
      </c>
      <c r="I201" s="9">
        <v>46211</v>
      </c>
      <c r="J201" s="7" t="s">
        <v>34</v>
      </c>
      <c r="K201" s="5">
        <v>0</v>
      </c>
      <c r="M201" t="s">
        <v>172</v>
      </c>
      <c r="N201" t="s">
        <v>172</v>
      </c>
      <c r="O201" s="3" t="s">
        <v>172</v>
      </c>
      <c r="P201" t="s">
        <v>172</v>
      </c>
      <c r="Q201" t="s">
        <v>172</v>
      </c>
      <c r="R201" t="s">
        <v>172</v>
      </c>
    </row>
    <row r="202" spans="1:18" x14ac:dyDescent="0.3">
      <c r="A202" s="7">
        <v>42112</v>
      </c>
      <c r="B202" s="7" t="s">
        <v>27</v>
      </c>
      <c r="C202" s="7">
        <v>1575</v>
      </c>
      <c r="D202" s="7" t="s">
        <v>137</v>
      </c>
      <c r="E202" s="7" t="s">
        <v>138</v>
      </c>
      <c r="F202" s="7" t="s">
        <v>177</v>
      </c>
      <c r="G202" s="7" t="s">
        <v>30</v>
      </c>
      <c r="H202" s="7" t="s">
        <v>153</v>
      </c>
      <c r="I202" s="9">
        <v>46211</v>
      </c>
      <c r="J202" s="7" t="s">
        <v>34</v>
      </c>
      <c r="K202" s="5">
        <v>0</v>
      </c>
      <c r="M202" t="s">
        <v>172</v>
      </c>
      <c r="N202" t="s">
        <v>172</v>
      </c>
      <c r="O202" s="3" t="s">
        <v>172</v>
      </c>
      <c r="P202" t="s">
        <v>172</v>
      </c>
      <c r="Q202" t="s">
        <v>172</v>
      </c>
      <c r="R202" t="s">
        <v>172</v>
      </c>
    </row>
    <row r="203" spans="1:18" x14ac:dyDescent="0.3">
      <c r="A203" s="7">
        <v>42292</v>
      </c>
      <c r="B203" s="7" t="s">
        <v>27</v>
      </c>
      <c r="C203" s="7">
        <v>1575</v>
      </c>
      <c r="D203" s="7" t="s">
        <v>137</v>
      </c>
      <c r="E203" s="7" t="s">
        <v>138</v>
      </c>
      <c r="F203" s="7" t="s">
        <v>177</v>
      </c>
      <c r="G203" s="7" t="s">
        <v>30</v>
      </c>
      <c r="H203" s="7" t="s">
        <v>153</v>
      </c>
      <c r="I203" s="9">
        <v>46211</v>
      </c>
      <c r="J203" s="7" t="s">
        <v>34</v>
      </c>
      <c r="K203" s="5">
        <v>0</v>
      </c>
      <c r="M203" t="s">
        <v>172</v>
      </c>
      <c r="N203" t="s">
        <v>172</v>
      </c>
      <c r="O203" s="3" t="s">
        <v>172</v>
      </c>
      <c r="P203" t="s">
        <v>172</v>
      </c>
      <c r="Q203" t="s">
        <v>172</v>
      </c>
      <c r="R203" t="s">
        <v>172</v>
      </c>
    </row>
    <row r="204" spans="1:18" x14ac:dyDescent="0.3">
      <c r="A204" s="7">
        <v>43111</v>
      </c>
      <c r="B204" s="7" t="s">
        <v>27</v>
      </c>
      <c r="C204" s="7">
        <v>1575</v>
      </c>
      <c r="D204" s="7" t="s">
        <v>137</v>
      </c>
      <c r="E204" s="7" t="s">
        <v>138</v>
      </c>
      <c r="F204" s="7" t="s">
        <v>177</v>
      </c>
      <c r="G204" s="7" t="s">
        <v>30</v>
      </c>
      <c r="H204" s="7" t="s">
        <v>153</v>
      </c>
      <c r="I204" s="9">
        <v>46211</v>
      </c>
      <c r="J204" s="7" t="s">
        <v>34</v>
      </c>
      <c r="K204" s="5">
        <v>0</v>
      </c>
      <c r="M204" t="s">
        <v>172</v>
      </c>
      <c r="N204" t="s">
        <v>172</v>
      </c>
      <c r="O204" s="3" t="s">
        <v>172</v>
      </c>
      <c r="P204" t="s">
        <v>172</v>
      </c>
      <c r="Q204" t="s">
        <v>172</v>
      </c>
      <c r="R204" t="s">
        <v>172</v>
      </c>
    </row>
    <row r="205" spans="1:18" x14ac:dyDescent="0.3">
      <c r="A205" s="7">
        <v>43386</v>
      </c>
      <c r="B205" s="7" t="s">
        <v>135</v>
      </c>
      <c r="C205" s="7">
        <v>0</v>
      </c>
      <c r="D205" s="7" t="s">
        <v>209</v>
      </c>
      <c r="E205" s="7" t="s">
        <v>209</v>
      </c>
      <c r="F205" s="7" t="s">
        <v>209</v>
      </c>
      <c r="G205" s="7" t="s">
        <v>209</v>
      </c>
      <c r="H205" s="7" t="s">
        <v>153</v>
      </c>
      <c r="I205" s="9">
        <v>46211</v>
      </c>
      <c r="J205" s="7" t="s">
        <v>34</v>
      </c>
      <c r="K205" s="5">
        <v>0</v>
      </c>
      <c r="M205" t="s">
        <v>172</v>
      </c>
      <c r="N205" t="s">
        <v>172</v>
      </c>
      <c r="O205" s="3" t="s">
        <v>172</v>
      </c>
      <c r="P205" t="s">
        <v>172</v>
      </c>
      <c r="Q205" t="s">
        <v>172</v>
      </c>
      <c r="R205" t="s">
        <v>172</v>
      </c>
    </row>
    <row r="206" spans="1:18" x14ac:dyDescent="0.3">
      <c r="A206" s="7">
        <v>43434</v>
      </c>
      <c r="B206" s="7" t="s">
        <v>27</v>
      </c>
      <c r="C206" s="7">
        <v>1575</v>
      </c>
      <c r="D206" s="7" t="s">
        <v>137</v>
      </c>
      <c r="E206" s="7" t="s">
        <v>138</v>
      </c>
      <c r="F206" s="7" t="s">
        <v>177</v>
      </c>
      <c r="G206" s="7" t="s">
        <v>30</v>
      </c>
      <c r="H206" s="7" t="s">
        <v>153</v>
      </c>
      <c r="I206" s="9">
        <v>46211</v>
      </c>
      <c r="J206" s="7" t="s">
        <v>34</v>
      </c>
      <c r="K206" s="5">
        <v>0</v>
      </c>
      <c r="M206" t="s">
        <v>172</v>
      </c>
      <c r="N206" t="s">
        <v>172</v>
      </c>
      <c r="O206" s="3" t="s">
        <v>172</v>
      </c>
      <c r="P206" t="s">
        <v>172</v>
      </c>
      <c r="Q206" t="s">
        <v>172</v>
      </c>
      <c r="R206" t="s">
        <v>172</v>
      </c>
    </row>
    <row r="207" spans="1:18" x14ac:dyDescent="0.3">
      <c r="A207" s="7">
        <v>44663</v>
      </c>
      <c r="B207" s="7" t="s">
        <v>27</v>
      </c>
      <c r="C207" s="7" t="s">
        <v>172</v>
      </c>
      <c r="D207" s="7" t="s">
        <v>160</v>
      </c>
      <c r="E207" s="7" t="s">
        <v>48</v>
      </c>
      <c r="F207" s="7" t="s">
        <v>110</v>
      </c>
      <c r="G207" s="7" t="s">
        <v>52</v>
      </c>
      <c r="H207" s="7" t="s">
        <v>158</v>
      </c>
      <c r="I207" s="9">
        <v>46211</v>
      </c>
      <c r="J207" s="7" t="s">
        <v>34</v>
      </c>
      <c r="K207" s="5">
        <v>0</v>
      </c>
      <c r="M207" t="s">
        <v>172</v>
      </c>
      <c r="N207" t="s">
        <v>172</v>
      </c>
      <c r="O207" s="3" t="s">
        <v>172</v>
      </c>
      <c r="P207" t="s">
        <v>172</v>
      </c>
      <c r="Q207" t="s">
        <v>172</v>
      </c>
      <c r="R207" t="s">
        <v>172</v>
      </c>
    </row>
    <row r="208" spans="1:18" x14ac:dyDescent="0.3">
      <c r="A208" s="7">
        <v>45117</v>
      </c>
      <c r="B208" s="7" t="s">
        <v>27</v>
      </c>
      <c r="C208" s="7">
        <v>1623</v>
      </c>
      <c r="D208" s="7" t="s">
        <v>81</v>
      </c>
      <c r="E208" s="7" t="s">
        <v>48</v>
      </c>
      <c r="F208" s="7" t="s">
        <v>106</v>
      </c>
      <c r="G208" s="7" t="s">
        <v>54</v>
      </c>
      <c r="H208" s="7" t="s">
        <v>158</v>
      </c>
      <c r="I208" s="9">
        <v>46211</v>
      </c>
      <c r="J208" s="7" t="s">
        <v>34</v>
      </c>
      <c r="K208" s="5">
        <v>0</v>
      </c>
      <c r="M208" t="s">
        <v>172</v>
      </c>
      <c r="N208" t="s">
        <v>172</v>
      </c>
      <c r="O208" s="3" t="s">
        <v>172</v>
      </c>
      <c r="P208" t="s">
        <v>172</v>
      </c>
      <c r="Q208" t="s">
        <v>172</v>
      </c>
      <c r="R208" t="s">
        <v>172</v>
      </c>
    </row>
    <row r="209" spans="1:18" x14ac:dyDescent="0.3">
      <c r="A209" s="7">
        <v>39991</v>
      </c>
      <c r="B209" s="7" t="s">
        <v>135</v>
      </c>
      <c r="C209" s="7">
        <v>0</v>
      </c>
      <c r="D209" s="7" t="s">
        <v>209</v>
      </c>
      <c r="E209" s="7" t="s">
        <v>209</v>
      </c>
      <c r="F209" s="7" t="s">
        <v>209</v>
      </c>
      <c r="G209" s="7" t="s">
        <v>209</v>
      </c>
      <c r="H209" s="7" t="s">
        <v>166</v>
      </c>
      <c r="I209" s="9">
        <v>46212</v>
      </c>
      <c r="J209" s="7" t="s">
        <v>34</v>
      </c>
      <c r="K209" s="5">
        <v>0</v>
      </c>
      <c r="M209" t="s">
        <v>172</v>
      </c>
      <c r="N209" t="s">
        <v>172</v>
      </c>
      <c r="O209" s="3" t="s">
        <v>172</v>
      </c>
      <c r="P209" t="s">
        <v>172</v>
      </c>
      <c r="Q209" t="s">
        <v>172</v>
      </c>
      <c r="R209" t="s">
        <v>172</v>
      </c>
    </row>
    <row r="210" spans="1:18" x14ac:dyDescent="0.3">
      <c r="A210" s="7">
        <v>24412</v>
      </c>
      <c r="B210" s="7" t="s">
        <v>135</v>
      </c>
      <c r="C210" s="7">
        <v>0</v>
      </c>
      <c r="D210" s="7" t="s">
        <v>209</v>
      </c>
      <c r="E210" s="7" t="s">
        <v>209</v>
      </c>
      <c r="F210" s="7" t="s">
        <v>209</v>
      </c>
      <c r="G210" s="7" t="s">
        <v>209</v>
      </c>
      <c r="H210" s="7" t="s">
        <v>166</v>
      </c>
      <c r="I210" s="9">
        <v>46212</v>
      </c>
      <c r="J210" s="7" t="s">
        <v>34</v>
      </c>
      <c r="K210" s="5">
        <v>0</v>
      </c>
      <c r="M210" t="s">
        <v>172</v>
      </c>
      <c r="N210" t="s">
        <v>172</v>
      </c>
      <c r="O210" s="3" t="s">
        <v>172</v>
      </c>
      <c r="P210" t="s">
        <v>172</v>
      </c>
      <c r="Q210" t="s">
        <v>172</v>
      </c>
      <c r="R210" t="s">
        <v>172</v>
      </c>
    </row>
    <row r="211" spans="1:18" x14ac:dyDescent="0.3">
      <c r="A211" s="7">
        <v>45665</v>
      </c>
      <c r="B211" s="7" t="s">
        <v>27</v>
      </c>
      <c r="C211" s="7">
        <v>1273</v>
      </c>
      <c r="D211" s="7" t="s">
        <v>86</v>
      </c>
      <c r="E211" s="7" t="s">
        <v>48</v>
      </c>
      <c r="F211" s="7" t="s">
        <v>109</v>
      </c>
      <c r="G211" s="7" t="s">
        <v>42</v>
      </c>
      <c r="H211" s="7" t="s">
        <v>166</v>
      </c>
      <c r="I211" s="9">
        <v>46212</v>
      </c>
      <c r="J211" s="7" t="s">
        <v>34</v>
      </c>
      <c r="K211" s="5">
        <v>0</v>
      </c>
      <c r="M211" t="s">
        <v>172</v>
      </c>
      <c r="N211" t="s">
        <v>172</v>
      </c>
      <c r="O211" s="3" t="s">
        <v>172</v>
      </c>
      <c r="P211" t="s">
        <v>172</v>
      </c>
      <c r="Q211" t="s">
        <v>172</v>
      </c>
      <c r="R211" t="s">
        <v>172</v>
      </c>
    </row>
    <row r="212" spans="1:18" x14ac:dyDescent="0.3">
      <c r="A212" s="7">
        <v>45469</v>
      </c>
      <c r="B212" s="7" t="s">
        <v>27</v>
      </c>
      <c r="C212" s="7">
        <v>9937</v>
      </c>
      <c r="D212" s="7" t="s">
        <v>58</v>
      </c>
      <c r="E212" s="7" t="s">
        <v>48</v>
      </c>
      <c r="F212" s="7" t="s">
        <v>106</v>
      </c>
      <c r="G212" s="7" t="s">
        <v>54</v>
      </c>
      <c r="H212" s="7" t="s">
        <v>166</v>
      </c>
      <c r="I212" s="9">
        <v>46212</v>
      </c>
      <c r="J212" s="7" t="s">
        <v>34</v>
      </c>
      <c r="K212" s="5">
        <v>0</v>
      </c>
      <c r="M212" t="s">
        <v>172</v>
      </c>
      <c r="N212" t="s">
        <v>172</v>
      </c>
      <c r="O212" s="3" t="s">
        <v>172</v>
      </c>
      <c r="P212" t="s">
        <v>172</v>
      </c>
      <c r="Q212" t="s">
        <v>172</v>
      </c>
      <c r="R212" t="s">
        <v>172</v>
      </c>
    </row>
    <row r="213" spans="1:18" x14ac:dyDescent="0.3">
      <c r="A213" s="7">
        <v>45591</v>
      </c>
      <c r="B213" s="7" t="s">
        <v>27</v>
      </c>
      <c r="C213" s="7">
        <v>1615</v>
      </c>
      <c r="D213" s="7" t="s">
        <v>117</v>
      </c>
      <c r="E213" s="7" t="s">
        <v>48</v>
      </c>
      <c r="F213" s="7" t="s">
        <v>110</v>
      </c>
      <c r="G213" s="7" t="s">
        <v>52</v>
      </c>
      <c r="H213" s="7" t="s">
        <v>166</v>
      </c>
      <c r="I213" s="9">
        <v>46212</v>
      </c>
      <c r="J213" s="7" t="s">
        <v>34</v>
      </c>
      <c r="K213" s="5">
        <v>161.15</v>
      </c>
      <c r="M213" t="s">
        <v>172</v>
      </c>
      <c r="N213" t="s">
        <v>172</v>
      </c>
      <c r="O213" s="3" t="s">
        <v>172</v>
      </c>
      <c r="P213" t="s">
        <v>172</v>
      </c>
      <c r="Q213" t="s">
        <v>172</v>
      </c>
      <c r="R213" t="s">
        <v>172</v>
      </c>
    </row>
    <row r="214" spans="1:18" x14ac:dyDescent="0.3">
      <c r="A214" s="7">
        <v>37151</v>
      </c>
      <c r="B214" s="7" t="s">
        <v>27</v>
      </c>
      <c r="C214" s="7">
        <v>1211</v>
      </c>
      <c r="D214" s="7" t="s">
        <v>184</v>
      </c>
      <c r="E214" s="7" t="s">
        <v>29</v>
      </c>
      <c r="F214" s="7" t="s">
        <v>106</v>
      </c>
      <c r="G214" s="7" t="s">
        <v>30</v>
      </c>
      <c r="H214" s="7" t="s">
        <v>166</v>
      </c>
      <c r="I214" s="9">
        <v>46212</v>
      </c>
      <c r="J214" s="7" t="s">
        <v>34</v>
      </c>
      <c r="K214" s="5">
        <v>388.41999999999996</v>
      </c>
      <c r="M214" t="s">
        <v>172</v>
      </c>
      <c r="N214" t="s">
        <v>172</v>
      </c>
      <c r="O214" s="3" t="s">
        <v>172</v>
      </c>
      <c r="P214" t="s">
        <v>172</v>
      </c>
      <c r="Q214" t="s">
        <v>172</v>
      </c>
      <c r="R214" t="s">
        <v>172</v>
      </c>
    </row>
    <row r="215" spans="1:18" x14ac:dyDescent="0.3">
      <c r="A215" s="7">
        <v>25598</v>
      </c>
      <c r="B215" s="7" t="s">
        <v>135</v>
      </c>
      <c r="C215" s="7">
        <v>0</v>
      </c>
      <c r="D215" s="7" t="s">
        <v>209</v>
      </c>
      <c r="E215" s="7" t="s">
        <v>209</v>
      </c>
      <c r="F215" s="7" t="s">
        <v>209</v>
      </c>
      <c r="G215" s="7" t="s">
        <v>209</v>
      </c>
      <c r="H215" s="7" t="s">
        <v>166</v>
      </c>
      <c r="I215" s="9">
        <v>46212</v>
      </c>
      <c r="J215" s="7" t="s">
        <v>34</v>
      </c>
      <c r="K215" s="5">
        <v>0</v>
      </c>
      <c r="M215" t="s">
        <v>172</v>
      </c>
      <c r="N215" t="s">
        <v>172</v>
      </c>
      <c r="O215" s="3" t="s">
        <v>172</v>
      </c>
      <c r="P215" t="s">
        <v>172</v>
      </c>
      <c r="Q215" t="s">
        <v>172</v>
      </c>
      <c r="R215" t="s">
        <v>172</v>
      </c>
    </row>
    <row r="216" spans="1:18" x14ac:dyDescent="0.3">
      <c r="A216" s="7">
        <v>39096</v>
      </c>
      <c r="B216" s="7" t="s">
        <v>135</v>
      </c>
      <c r="C216" s="7">
        <v>0</v>
      </c>
      <c r="D216" s="7" t="s">
        <v>209</v>
      </c>
      <c r="E216" s="7" t="s">
        <v>209</v>
      </c>
      <c r="F216" s="7" t="s">
        <v>209</v>
      </c>
      <c r="G216" s="7" t="s">
        <v>209</v>
      </c>
      <c r="H216" s="7" t="s">
        <v>166</v>
      </c>
      <c r="I216" s="9">
        <v>46212</v>
      </c>
      <c r="J216" s="7" t="s">
        <v>34</v>
      </c>
      <c r="K216" s="5">
        <v>0</v>
      </c>
      <c r="M216" t="s">
        <v>172</v>
      </c>
      <c r="N216" t="s">
        <v>172</v>
      </c>
      <c r="O216" s="3" t="s">
        <v>172</v>
      </c>
      <c r="P216" t="s">
        <v>172</v>
      </c>
      <c r="Q216" t="s">
        <v>172</v>
      </c>
      <c r="R216" t="s">
        <v>172</v>
      </c>
    </row>
    <row r="217" spans="1:18" x14ac:dyDescent="0.3">
      <c r="A217" s="7">
        <v>45304</v>
      </c>
      <c r="B217" s="7" t="s">
        <v>27</v>
      </c>
      <c r="C217" s="7">
        <v>1393</v>
      </c>
      <c r="D217" s="7" t="s">
        <v>163</v>
      </c>
      <c r="E217" s="7" t="s">
        <v>48</v>
      </c>
      <c r="F217" s="7" t="s">
        <v>107</v>
      </c>
      <c r="G217" s="7" t="s">
        <v>49</v>
      </c>
      <c r="H217" s="7" t="s">
        <v>166</v>
      </c>
      <c r="I217" s="9">
        <v>46212</v>
      </c>
      <c r="J217" s="7" t="s">
        <v>34</v>
      </c>
      <c r="K217" s="5">
        <v>645.03</v>
      </c>
      <c r="M217" t="s">
        <v>172</v>
      </c>
      <c r="N217" t="s">
        <v>172</v>
      </c>
      <c r="O217" s="3" t="s">
        <v>172</v>
      </c>
      <c r="P217" t="s">
        <v>172</v>
      </c>
      <c r="Q217" t="s">
        <v>172</v>
      </c>
      <c r="R217" t="s">
        <v>172</v>
      </c>
    </row>
    <row r="218" spans="1:18" x14ac:dyDescent="0.3">
      <c r="A218" s="7">
        <v>42285</v>
      </c>
      <c r="B218" s="7" t="s">
        <v>27</v>
      </c>
      <c r="C218" s="7">
        <v>1464</v>
      </c>
      <c r="D218" s="7" t="s">
        <v>64</v>
      </c>
      <c r="E218" s="7" t="s">
        <v>29</v>
      </c>
      <c r="F218" s="7" t="s">
        <v>110</v>
      </c>
      <c r="G218" s="7" t="s">
        <v>30</v>
      </c>
      <c r="H218" s="7" t="s">
        <v>166</v>
      </c>
      <c r="I218" s="9">
        <v>46212</v>
      </c>
      <c r="J218" s="7" t="s">
        <v>34</v>
      </c>
      <c r="K218" s="5">
        <v>0</v>
      </c>
      <c r="M218" t="s">
        <v>172</v>
      </c>
      <c r="N218" t="s">
        <v>172</v>
      </c>
      <c r="O218" s="3" t="s">
        <v>172</v>
      </c>
      <c r="P218" t="s">
        <v>172</v>
      </c>
      <c r="Q218" t="s">
        <v>172</v>
      </c>
      <c r="R218" t="s">
        <v>172</v>
      </c>
    </row>
    <row r="219" spans="1:18" x14ac:dyDescent="0.3">
      <c r="A219" s="7">
        <v>41236</v>
      </c>
      <c r="B219" s="7" t="s">
        <v>27</v>
      </c>
      <c r="C219" s="7">
        <v>9911</v>
      </c>
      <c r="D219" s="7" t="s">
        <v>65</v>
      </c>
      <c r="E219" s="7" t="s">
        <v>48</v>
      </c>
      <c r="F219" s="7" t="s">
        <v>110</v>
      </c>
      <c r="G219" s="7" t="s">
        <v>52</v>
      </c>
      <c r="H219" s="7" t="s">
        <v>166</v>
      </c>
      <c r="I219" s="9">
        <v>46212</v>
      </c>
      <c r="J219" s="7" t="s">
        <v>34</v>
      </c>
      <c r="K219" s="5">
        <v>0</v>
      </c>
      <c r="M219" t="s">
        <v>172</v>
      </c>
      <c r="N219" t="s">
        <v>172</v>
      </c>
      <c r="O219" s="3" t="s">
        <v>172</v>
      </c>
      <c r="P219" t="s">
        <v>172</v>
      </c>
      <c r="Q219" t="s">
        <v>172</v>
      </c>
      <c r="R219" t="s">
        <v>172</v>
      </c>
    </row>
    <row r="220" spans="1:18" x14ac:dyDescent="0.3">
      <c r="A220" s="7">
        <v>35304</v>
      </c>
      <c r="B220" s="7" t="s">
        <v>27</v>
      </c>
      <c r="C220" s="7">
        <v>1319</v>
      </c>
      <c r="D220" s="7" t="s">
        <v>165</v>
      </c>
      <c r="E220" s="7" t="s">
        <v>48</v>
      </c>
      <c r="F220" s="7" t="s">
        <v>106</v>
      </c>
      <c r="G220" s="7" t="s">
        <v>54</v>
      </c>
      <c r="H220" s="7" t="s">
        <v>166</v>
      </c>
      <c r="I220" s="9">
        <v>46212</v>
      </c>
      <c r="J220" s="7" t="s">
        <v>34</v>
      </c>
      <c r="K220" s="5">
        <v>501</v>
      </c>
      <c r="M220" t="s">
        <v>172</v>
      </c>
      <c r="N220" t="s">
        <v>172</v>
      </c>
      <c r="O220" s="3" t="s">
        <v>172</v>
      </c>
      <c r="P220" t="s">
        <v>172</v>
      </c>
      <c r="Q220" t="s">
        <v>172</v>
      </c>
      <c r="R220" t="s">
        <v>172</v>
      </c>
    </row>
    <row r="221" spans="1:18" x14ac:dyDescent="0.3">
      <c r="A221" s="7">
        <v>42360</v>
      </c>
      <c r="B221" s="7" t="s">
        <v>27</v>
      </c>
      <c r="C221" s="7">
        <v>1623</v>
      </c>
      <c r="D221" s="7" t="s">
        <v>81</v>
      </c>
      <c r="E221" s="7" t="s">
        <v>48</v>
      </c>
      <c r="F221" s="7" t="s">
        <v>106</v>
      </c>
      <c r="G221" s="7" t="s">
        <v>54</v>
      </c>
      <c r="H221" s="7" t="s">
        <v>166</v>
      </c>
      <c r="I221" s="9">
        <v>46212</v>
      </c>
      <c r="J221" s="7" t="s">
        <v>34</v>
      </c>
      <c r="K221" s="5">
        <v>0</v>
      </c>
      <c r="M221" t="s">
        <v>172</v>
      </c>
      <c r="N221" t="s">
        <v>172</v>
      </c>
      <c r="O221" s="3" t="s">
        <v>172</v>
      </c>
      <c r="P221" t="s">
        <v>172</v>
      </c>
      <c r="Q221" t="s">
        <v>172</v>
      </c>
      <c r="R221" t="s">
        <v>172</v>
      </c>
    </row>
    <row r="222" spans="1:18" x14ac:dyDescent="0.3">
      <c r="A222" s="7">
        <v>20828</v>
      </c>
      <c r="B222" s="7" t="s">
        <v>27</v>
      </c>
      <c r="C222" s="7">
        <v>9886</v>
      </c>
      <c r="D222" s="7" t="s">
        <v>193</v>
      </c>
      <c r="E222" s="7" t="s">
        <v>29</v>
      </c>
      <c r="F222" s="7" t="s">
        <v>107</v>
      </c>
      <c r="G222" s="7" t="s">
        <v>30</v>
      </c>
      <c r="H222" s="7" t="s">
        <v>166</v>
      </c>
      <c r="I222" s="9">
        <v>46212</v>
      </c>
      <c r="J222" s="7" t="s">
        <v>34</v>
      </c>
      <c r="K222" s="5">
        <v>0</v>
      </c>
      <c r="M222" t="s">
        <v>172</v>
      </c>
      <c r="N222" t="s">
        <v>172</v>
      </c>
      <c r="O222" s="3" t="s">
        <v>172</v>
      </c>
      <c r="P222" t="s">
        <v>172</v>
      </c>
      <c r="Q222" t="s">
        <v>172</v>
      </c>
      <c r="R222" t="s">
        <v>172</v>
      </c>
    </row>
    <row r="223" spans="1:18" x14ac:dyDescent="0.3">
      <c r="A223" s="7">
        <v>29950</v>
      </c>
      <c r="B223" s="7" t="s">
        <v>27</v>
      </c>
      <c r="C223" s="7">
        <v>6127</v>
      </c>
      <c r="D223" s="7" t="s">
        <v>41</v>
      </c>
      <c r="E223" s="7" t="s">
        <v>48</v>
      </c>
      <c r="F223" s="7" t="s">
        <v>109</v>
      </c>
      <c r="G223" s="7" t="s">
        <v>42</v>
      </c>
      <c r="H223" s="7" t="s">
        <v>166</v>
      </c>
      <c r="I223" s="9">
        <v>46212</v>
      </c>
      <c r="J223" s="7" t="s">
        <v>34</v>
      </c>
      <c r="K223" s="5">
        <v>0</v>
      </c>
      <c r="M223" t="s">
        <v>172</v>
      </c>
      <c r="N223" t="s">
        <v>172</v>
      </c>
      <c r="O223" s="3" t="s">
        <v>172</v>
      </c>
      <c r="P223" t="s">
        <v>172</v>
      </c>
      <c r="Q223" t="s">
        <v>172</v>
      </c>
      <c r="R223" t="s">
        <v>172</v>
      </c>
    </row>
    <row r="224" spans="1:18" x14ac:dyDescent="0.3">
      <c r="A224" s="7">
        <v>30503</v>
      </c>
      <c r="B224" s="7" t="s">
        <v>27</v>
      </c>
      <c r="C224" s="7">
        <v>9886</v>
      </c>
      <c r="D224" s="7" t="s">
        <v>193</v>
      </c>
      <c r="E224" s="7" t="s">
        <v>29</v>
      </c>
      <c r="F224" s="7" t="s">
        <v>107</v>
      </c>
      <c r="G224" s="7" t="s">
        <v>30</v>
      </c>
      <c r="H224" s="7" t="s">
        <v>166</v>
      </c>
      <c r="I224" s="9">
        <v>46212</v>
      </c>
      <c r="J224" s="7" t="s">
        <v>34</v>
      </c>
      <c r="K224" s="5">
        <v>0</v>
      </c>
      <c r="M224" t="s">
        <v>172</v>
      </c>
      <c r="N224" t="s">
        <v>172</v>
      </c>
      <c r="O224" s="3" t="s">
        <v>172</v>
      </c>
      <c r="P224" t="s">
        <v>172</v>
      </c>
      <c r="Q224" t="s">
        <v>172</v>
      </c>
      <c r="R224" t="s">
        <v>172</v>
      </c>
    </row>
  </sheetData>
  <autoFilter ref="A1:K224" xr:uid="{00000000-0001-0000-1300-000000000000}"/>
  <pageMargins left="0.511811024" right="0.511811024" top="0.78740157499999996" bottom="0.78740157499999996" header="0.31496062000000002" footer="0.31496062000000002"/>
  <ignoredErrors>
    <ignoredError sqref="M1:R224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42"/>
  <sheetViews>
    <sheetView workbookViewId="0"/>
  </sheetViews>
  <sheetFormatPr defaultRowHeight="15.6" x14ac:dyDescent="0.3"/>
  <sheetData>
    <row r="1" spans="1:7" x14ac:dyDescent="0.3">
      <c r="A1" t="s">
        <v>24</v>
      </c>
      <c r="B1" t="s">
        <v>211</v>
      </c>
    </row>
    <row r="3" spans="1:7" x14ac:dyDescent="0.3">
      <c r="A3" t="s">
        <v>212</v>
      </c>
      <c r="B3" t="s">
        <v>20</v>
      </c>
    </row>
    <row r="4" spans="1:7" x14ac:dyDescent="0.3">
      <c r="A4" t="s">
        <v>213</v>
      </c>
      <c r="B4" t="s">
        <v>48</v>
      </c>
      <c r="C4" t="s">
        <v>29</v>
      </c>
      <c r="D4" t="s">
        <v>214</v>
      </c>
      <c r="E4" t="s">
        <v>215</v>
      </c>
      <c r="F4" t="s">
        <v>216</v>
      </c>
      <c r="G4" t="s">
        <v>217</v>
      </c>
    </row>
    <row r="5" spans="1:7" x14ac:dyDescent="0.3">
      <c r="A5" t="s">
        <v>47</v>
      </c>
      <c r="B5">
        <v>1</v>
      </c>
      <c r="D5">
        <v>1</v>
      </c>
    </row>
    <row r="6" spans="1:7" x14ac:dyDescent="0.3">
      <c r="A6" t="s">
        <v>62</v>
      </c>
      <c r="C6">
        <v>13</v>
      </c>
      <c r="D6">
        <v>13</v>
      </c>
    </row>
    <row r="7" spans="1:7" x14ac:dyDescent="0.3">
      <c r="A7" t="s">
        <v>51</v>
      </c>
      <c r="B7">
        <v>1</v>
      </c>
      <c r="D7">
        <v>1</v>
      </c>
    </row>
    <row r="8" spans="1:7" x14ac:dyDescent="0.3">
      <c r="A8" t="s">
        <v>86</v>
      </c>
      <c r="B8">
        <v>3</v>
      </c>
      <c r="D8">
        <v>3</v>
      </c>
    </row>
    <row r="9" spans="1:7" x14ac:dyDescent="0.3">
      <c r="A9" t="s">
        <v>64</v>
      </c>
      <c r="C9">
        <v>19</v>
      </c>
      <c r="D9">
        <v>19</v>
      </c>
    </row>
    <row r="10" spans="1:7" x14ac:dyDescent="0.3">
      <c r="A10" t="s">
        <v>28</v>
      </c>
      <c r="C10">
        <v>10</v>
      </c>
      <c r="D10">
        <v>10</v>
      </c>
    </row>
    <row r="11" spans="1:7" x14ac:dyDescent="0.3">
      <c r="A11" t="s">
        <v>53</v>
      </c>
      <c r="B11">
        <v>1</v>
      </c>
      <c r="D11">
        <v>1</v>
      </c>
    </row>
    <row r="12" spans="1:7" x14ac:dyDescent="0.3">
      <c r="A12" t="s">
        <v>55</v>
      </c>
      <c r="B12">
        <v>1</v>
      </c>
      <c r="D12">
        <v>1</v>
      </c>
    </row>
    <row r="13" spans="1:7" x14ac:dyDescent="0.3">
      <c r="A13" t="s">
        <v>57</v>
      </c>
      <c r="B13">
        <v>2</v>
      </c>
      <c r="D13">
        <v>2</v>
      </c>
    </row>
    <row r="14" spans="1:7" x14ac:dyDescent="0.3">
      <c r="A14" t="s">
        <v>84</v>
      </c>
      <c r="B14">
        <v>1</v>
      </c>
      <c r="D14">
        <v>1</v>
      </c>
    </row>
    <row r="15" spans="1:7" x14ac:dyDescent="0.3">
      <c r="A15" t="s">
        <v>58</v>
      </c>
      <c r="B15">
        <v>3</v>
      </c>
      <c r="D15">
        <v>3</v>
      </c>
    </row>
    <row r="16" spans="1:7" x14ac:dyDescent="0.3">
      <c r="A16" t="s">
        <v>59</v>
      </c>
      <c r="B16">
        <v>1</v>
      </c>
      <c r="D16">
        <v>1</v>
      </c>
    </row>
    <row r="17" spans="1:4" x14ac:dyDescent="0.3">
      <c r="A17" t="s">
        <v>65</v>
      </c>
      <c r="B17">
        <v>2</v>
      </c>
      <c r="D17">
        <v>2</v>
      </c>
    </row>
    <row r="18" spans="1:4" x14ac:dyDescent="0.3">
      <c r="A18" t="s">
        <v>33</v>
      </c>
      <c r="C18">
        <v>22</v>
      </c>
      <c r="D18">
        <v>22</v>
      </c>
    </row>
    <row r="19" spans="1:4" x14ac:dyDescent="0.3">
      <c r="A19" t="s">
        <v>88</v>
      </c>
      <c r="B19">
        <v>1</v>
      </c>
      <c r="D19">
        <v>1</v>
      </c>
    </row>
    <row r="20" spans="1:4" x14ac:dyDescent="0.3">
      <c r="A20" t="s">
        <v>83</v>
      </c>
      <c r="B20">
        <v>3</v>
      </c>
      <c r="D20">
        <v>3</v>
      </c>
    </row>
    <row r="21" spans="1:4" x14ac:dyDescent="0.3">
      <c r="A21" t="s">
        <v>87</v>
      </c>
      <c r="B21">
        <v>1</v>
      </c>
      <c r="D21">
        <v>1</v>
      </c>
    </row>
    <row r="22" spans="1:4" x14ac:dyDescent="0.3">
      <c r="A22" t="s">
        <v>66</v>
      </c>
      <c r="B22">
        <v>2</v>
      </c>
      <c r="D22">
        <v>2</v>
      </c>
    </row>
    <row r="23" spans="1:4" x14ac:dyDescent="0.3">
      <c r="A23" t="s">
        <v>78</v>
      </c>
      <c r="C23">
        <v>9</v>
      </c>
      <c r="D23">
        <v>9</v>
      </c>
    </row>
    <row r="24" spans="1:4" x14ac:dyDescent="0.3">
      <c r="A24" t="s">
        <v>67</v>
      </c>
      <c r="B24">
        <v>3</v>
      </c>
      <c r="D24">
        <v>3</v>
      </c>
    </row>
    <row r="25" spans="1:4" x14ac:dyDescent="0.3">
      <c r="A25" t="s">
        <v>41</v>
      </c>
      <c r="B25">
        <v>2</v>
      </c>
      <c r="D25">
        <v>2</v>
      </c>
    </row>
    <row r="26" spans="1:4" x14ac:dyDescent="0.3">
      <c r="A26" t="s">
        <v>68</v>
      </c>
      <c r="B26">
        <v>1</v>
      </c>
      <c r="D26">
        <v>1</v>
      </c>
    </row>
    <row r="27" spans="1:4" x14ac:dyDescent="0.3">
      <c r="A27" t="s">
        <v>60</v>
      </c>
      <c r="B27">
        <v>4</v>
      </c>
      <c r="D27">
        <v>4</v>
      </c>
    </row>
    <row r="28" spans="1:4" x14ac:dyDescent="0.3">
      <c r="A28" t="s">
        <v>39</v>
      </c>
      <c r="C28">
        <v>8</v>
      </c>
      <c r="D28">
        <v>8</v>
      </c>
    </row>
    <row r="29" spans="1:4" x14ac:dyDescent="0.3">
      <c r="A29" t="s">
        <v>105</v>
      </c>
      <c r="B29">
        <v>1</v>
      </c>
      <c r="D29">
        <v>1</v>
      </c>
    </row>
    <row r="30" spans="1:4" x14ac:dyDescent="0.3">
      <c r="A30" t="s">
        <v>69</v>
      </c>
      <c r="B30">
        <v>1</v>
      </c>
      <c r="D30">
        <v>1</v>
      </c>
    </row>
    <row r="31" spans="1:4" x14ac:dyDescent="0.3">
      <c r="A31" t="s">
        <v>85</v>
      </c>
      <c r="B31">
        <v>1</v>
      </c>
      <c r="D31">
        <v>1</v>
      </c>
    </row>
    <row r="32" spans="1:4" x14ac:dyDescent="0.3">
      <c r="A32" t="s">
        <v>61</v>
      </c>
      <c r="B32">
        <v>3</v>
      </c>
      <c r="D32">
        <v>3</v>
      </c>
    </row>
    <row r="33" spans="1:4" x14ac:dyDescent="0.3">
      <c r="A33" t="s">
        <v>70</v>
      </c>
      <c r="B33">
        <v>1</v>
      </c>
      <c r="D33">
        <v>1</v>
      </c>
    </row>
    <row r="34" spans="1:4" x14ac:dyDescent="0.3">
      <c r="A34" t="s">
        <v>81</v>
      </c>
      <c r="B34">
        <v>4</v>
      </c>
      <c r="D34">
        <v>4</v>
      </c>
    </row>
    <row r="35" spans="1:4" x14ac:dyDescent="0.3">
      <c r="A35" t="s">
        <v>115</v>
      </c>
      <c r="B35">
        <v>1</v>
      </c>
      <c r="D35">
        <v>1</v>
      </c>
    </row>
    <row r="36" spans="1:4" x14ac:dyDescent="0.3">
      <c r="A36" t="s">
        <v>116</v>
      </c>
      <c r="B36">
        <v>1</v>
      </c>
      <c r="D36">
        <v>1</v>
      </c>
    </row>
    <row r="37" spans="1:4" x14ac:dyDescent="0.3">
      <c r="A37" t="s">
        <v>117</v>
      </c>
      <c r="B37">
        <v>1</v>
      </c>
      <c r="D37">
        <v>1</v>
      </c>
    </row>
    <row r="38" spans="1:4" x14ac:dyDescent="0.3">
      <c r="A38" t="s">
        <v>118</v>
      </c>
      <c r="B38">
        <v>1</v>
      </c>
      <c r="D38">
        <v>1</v>
      </c>
    </row>
    <row r="39" spans="1:4" x14ac:dyDescent="0.3">
      <c r="A39" t="s">
        <v>119</v>
      </c>
      <c r="B39">
        <v>1</v>
      </c>
      <c r="D39">
        <v>1</v>
      </c>
    </row>
    <row r="40" spans="1:4" x14ac:dyDescent="0.3">
      <c r="A40" t="s">
        <v>120</v>
      </c>
      <c r="B40">
        <v>1</v>
      </c>
      <c r="D40">
        <v>1</v>
      </c>
    </row>
    <row r="41" spans="1:4" x14ac:dyDescent="0.3">
      <c r="A41" t="s">
        <v>121</v>
      </c>
      <c r="B41">
        <v>1</v>
      </c>
      <c r="D41">
        <v>1</v>
      </c>
    </row>
    <row r="42" spans="1:4" x14ac:dyDescent="0.3">
      <c r="A42" t="s">
        <v>214</v>
      </c>
      <c r="B42">
        <v>51</v>
      </c>
      <c r="C42">
        <v>81</v>
      </c>
      <c r="D42">
        <v>132</v>
      </c>
    </row>
  </sheetData>
  <pageMargins left="0.7" right="0.7" top="0.75" bottom="0.75" header="0.3" footer="0.3"/>
  <ignoredErrors>
    <ignoredError sqref="A1:G42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"/>
  <sheetViews>
    <sheetView workbookViewId="0"/>
  </sheetViews>
  <sheetFormatPr defaultRowHeight="15.6" x14ac:dyDescent="0.3"/>
  <sheetData/>
  <pageMargins left="0.7" right="0.7" top="0.75" bottom="0.75" header="0.3" footer="0.3"/>
  <ignoredErrors>
    <ignoredError sqref="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10062026_VOUCHER_TV_45_89</vt:lpstr>
      <vt:lpstr>18062026_BATATAS_TV_45_120</vt:lpstr>
      <vt:lpstr>22062026_ACAI_TV_45_120</vt:lpstr>
      <vt:lpstr>23062026_BATATA_TV_45_120</vt:lpstr>
      <vt:lpstr>24062026_COPA_RP_20_44</vt:lpstr>
      <vt:lpstr>25062026_DIADOACAI_TV_45_120</vt:lpstr>
      <vt:lpstr>26062026_DIADOACAI_TV_45_120</vt:lpstr>
      <vt:lpstr>29062026_FECHAMENTO_TV_45_89</vt:lpstr>
      <vt:lpstr>30062026_PROSPECCAO_TV_45_365</vt:lpstr>
      <vt:lpstr>30062026_BRASILVENC_RP_20_44</vt:lpstr>
      <vt:lpstr>01072026_VOUCHER_TV_45_365</vt:lpstr>
      <vt:lpstr>02072026_VOLTEACOMP_RP_20_44</vt:lpstr>
      <vt:lpstr>03072026_ACAI_TV_45_120</vt:lpstr>
      <vt:lpstr>06072026_ACAI_TV_20_44</vt:lpstr>
      <vt:lpstr>06072026_ACAI_RP_20_44</vt:lpstr>
      <vt:lpstr>07072026_CNPJ_TV_44_365</vt:lpstr>
      <vt:lpstr>08072026_CNPJ_TV_45_400</vt:lpstr>
      <vt:lpstr>08072026_CNPJ_AT_20_44</vt:lpstr>
      <vt:lpstr>09072026_SUPERVOUCH_TV_45_120</vt:lpstr>
      <vt:lpstr>Dados Geral</vt:lpstr>
      <vt:lpstr>Resumo por RCA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Matheus de Freitas Echevarria</cp:lastModifiedBy>
  <dcterms:created xsi:type="dcterms:W3CDTF">2026-07-01T16:54:24Z</dcterms:created>
  <dcterms:modified xsi:type="dcterms:W3CDTF">2026-07-13T03:36:38Z</dcterms:modified>
</cp:coreProperties>
</file>
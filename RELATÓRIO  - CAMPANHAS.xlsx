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defaultThemeVersion="166925" hidePivotFieldList="true"/>
  <sheets>
    <sheet name="10062026_VOUCHER_TV_45_89" sheetId="1" r:id="rId1"/>
    <sheet name="18062026_BATATAS_TV_45_120" sheetId="2" r:id="rId2"/>
    <sheet name="22062026_ACA_TV_45_120" sheetId="3" r:id="rId3"/>
    <sheet name="23062026_BATATA_TV_45_120" sheetId="4" r:id="rId4"/>
    <sheet name="24062026_COPA_RP_20_44" sheetId="5" r:id="rId5"/>
    <sheet name="25062026_DIADOACA_TV_45_120" sheetId="6" r:id="rId6"/>
    <sheet name="26062026_DIADOACA_TV_45_120" sheetId="7" r:id="rId7"/>
    <sheet name="29062026_FECHAMENTO_TV_45_89" sheetId="8" r:id="rId8"/>
    <sheet name="30062026_PROSPECCAO_TV_45_365" sheetId="9" r:id="rId9"/>
    <sheet name="30062026_BRASILVENC_RP_20_44" sheetId="10" r:id="rId10"/>
    <sheet name="01072026_VOUCHER_TV_45_365" sheetId="11" r:id="rId11"/>
    <sheet name="02072026_VOLTEACOMP_RP_20_44" sheetId="12" r:id="rId12"/>
    <sheet name="03072026_ACA_TV_45_120" sheetId="13" r:id="rId13"/>
    <sheet name="06072026_ACA_TV_20_44" sheetId="14" r:id="rId14"/>
    <sheet name="06072026_ACA_RP_20_44" sheetId="15" r:id="rId15"/>
    <sheet name="07072026_CNPJ_TV_44_365" sheetId="16" r:id="rId16"/>
    <sheet name="08072026_CNPJ_TV_45_400" sheetId="17" r:id="rId17"/>
    <sheet name="08072026_CNPJ_AT_20_44" sheetId="18" r:id="rId18"/>
    <sheet name="09072026_SUPERVOUCH_TV_45_120" sheetId="19" r:id="rId19"/>
    <sheet name="Dados Geral" sheetId="20" r:id="rId20"/>
    <sheet name="Resumo por RCA" sheetId="21" r:id="rId21"/>
    <sheet name="Planilha1" sheetId="22" r:id="rId22" state="hidden"/>
  </sheets>
  <definedNames>
    <definedName name="_xlnm._FilterDatabase" localSheetId="19" hidden="1">'Dados Geral'!$A$2:$K$225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3">
    <numFmt numFmtId="8" formatCode="&quot;R$&quot;\ #,##0.00;[Red]\-&quot;R$&quot;\ #,##0.00"/>
    <numFmt numFmtId="56" formatCode="&quot;上午/下午 &quot;hh&quot;時&quot;mm&quot;分&quot;ss&quot;秒 &quot;"/>
    <numFmt numFmtId="164" formatCode="_-[$R$-416]\ * #,##0.00_-;\-[$R$-416]\ * #,##0.00_-;_-[$R$-416]\ * &quot;-&quot;??_-;_-@_-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theme" Target="theme/theme1.xml"/><Relationship Id="rId24" Type="http://schemas.openxmlformats.org/officeDocument/2006/relationships/styles" Target="styles.xml"/><Relationship Id="rId25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14"/>
  <sheetViews>
    <sheetView workbookViewId="0" rightToLeft="0"/>
  </sheetViews>
  <sheetData>
    <row r="1">
      <c r="A1" t="str">
        <v>CAMPANHA VOUCHER | 45-89 DIAS | TELEVENDAS</v>
      </c>
    </row>
    <row r="4">
      <c r="A4" t="str">
        <v>TEXTO DE DISPARO</v>
      </c>
    </row>
    <row r="5" xml:space="preserve">
      <c r="A5" t="str" xml:space="preserve">
        <v xml:space="preserve">Olá! Tudo bem? Temos uma condição especial esperando por você! _x000d_
🎁 Clique abaixo e fale com nossa equipe para garantir seu benefício. _x000d_
</v>
      </c>
    </row>
    <row r="8">
      <c r="A8" t="str">
        <v>PÚBLICO DE DISPARO</v>
      </c>
    </row>
    <row r="9" xml:space="preserve">
      <c r="A9" t="str" xml:space="preserve">
        <v xml:space="preserve">Todos (CPF E CNPJ)_x000d_
45 à 120 dias sem compra.</v>
      </c>
    </row>
    <row r="12">
      <c r="A12" t="str">
        <v>RESUMO DE DISPARO</v>
      </c>
    </row>
    <row r="13" xml:space="preserve">
      <c r="A13" t="str" xml:space="preserve">
        <v xml:space="preserve">1539 contatos totais_x000d_
643 contatos receberam </v>
      </c>
    </row>
  </sheetData>
  <mergeCells count="7">
    <mergeCell ref="A12:N12"/>
    <mergeCell ref="A13:N14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numberStoredAsText="1" sqref="A1:R14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R14"/>
  <sheetViews>
    <sheetView workbookViewId="0" rightToLeft="0"/>
  </sheetViews>
  <sheetData>
    <row r="1">
      <c r="A1" t="str">
        <v>CAMPANHA BATATAS | 45-120 DIAS | TELEVENDAS</v>
      </c>
    </row>
    <row r="4">
      <c r="A4" t="str">
        <v>TEXTO DE DISPARO</v>
      </c>
    </row>
    <row r="5">
      <c r="A5" t="str">
        <v>Renove seu estoque para a Copa! Temos condições especiais em produtos selecionados para o seu negócio aproveitar as oportunidades dessa temporada.</v>
      </c>
    </row>
    <row r="8">
      <c r="A8" t="str">
        <v>PÚBLICO DE DISPARO</v>
      </c>
    </row>
    <row r="9" xml:space="preserve">
      <c r="A9" t="str" xml:space="preserve">
        <v xml:space="preserve">CNPJ_x000d_
45 à 120 dias sem compra.</v>
      </c>
    </row>
    <row r="12">
      <c r="A12" t="str">
        <v>RESUMO DE DISPARO</v>
      </c>
    </row>
    <row r="13" xml:space="preserve">
      <c r="A13" t="str" xml:space="preserve">
        <v xml:space="preserve">3989 contatos totais_x000d_
1269 contatos receberam </v>
      </c>
    </row>
  </sheetData>
  <mergeCells count="7">
    <mergeCell ref="A13:N14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14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R24"/>
  <sheetViews>
    <sheetView workbookViewId="0" rightToLeft="0"/>
  </sheetViews>
  <sheetData>
    <row r="1">
      <c r="A1" t="str">
        <v>CAMPANHA AÇAÍ | 45-120 DIAS | TELEVENDAS</v>
      </c>
    </row>
    <row r="4">
      <c r="A4" t="str">
        <v>TEXTO DE DISPARO</v>
      </c>
    </row>
    <row r="5" xml:space="preserve">
      <c r="A5" t="str" xml:space="preserve">
        <v xml:space="preserve">Olá! Tudo bem? Percebemos que faz um tempo que você não realiza pedidos conosco e queremos apresentar uma oportunidade especial. A MAR Food Service está com condições diferenciadas para a linha de açaí Polpanorte, ideal para reforçar seu estoque e aproveitar a demanda da temporada. Gostaria de receber mais informações?_x000d_
</v>
      </c>
    </row>
    <row r="8">
      <c r="A8" t="str">
        <v>PÚBLICO DE DISPARO</v>
      </c>
    </row>
    <row r="9" xml:space="preserve">
      <c r="A9" t="str" xml:space="preserve">
        <v xml:space="preserve">CPF_x000d_
45 à 120 dias sem compra.</v>
      </c>
    </row>
    <row r="12">
      <c r="A12" t="str">
        <v>RESUMO DE DISPARO</v>
      </c>
    </row>
    <row r="13" xml:space="preserve">
      <c r="A13" t="str" xml:space="preserve">
        <v xml:space="preserve">333 contatos totais_x000d_
160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34108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1211</v>
      </c>
      <c r="D18" t="str">
        <v>Cristielen</v>
      </c>
      <c r="E18" t="str">
        <v>Televendas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Litoral</v>
      </c>
      <c r="G18" t="str">
        <v>Franciele</v>
      </c>
      <c r="H18" t="str">
        <v>Açai</v>
      </c>
      <c r="I18">
        <v>46195</v>
      </c>
      <c r="J18" t="str">
        <v>Sim</v>
      </c>
      <c r="K18">
        <v>215.8</v>
      </c>
    </row>
    <row r="19" xml:space="preserve">
      <c r="A19">
        <v>31773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tr">
        <v>Jenifer</v>
      </c>
      <c r="E19" t="str">
        <v>Televendas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t="str">
        <v>Franciele</v>
      </c>
      <c r="H19" t="str">
        <v>Açai</v>
      </c>
      <c r="I19">
        <v>46195</v>
      </c>
      <c r="J19" t="str">
        <v>Sim</v>
      </c>
      <c r="K19">
        <v>165.8</v>
      </c>
    </row>
    <row r="20" xml:space="preserve">
      <c r="A20">
        <v>28483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1575</v>
      </c>
      <c r="D20" t="str">
        <v>Jenifer</v>
      </c>
      <c r="E20" t="str">
        <v>Televendas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/>
      </c>
      <c r="G20" t="str">
        <v>Franciele</v>
      </c>
      <c r="H20" t="str">
        <v>Açai</v>
      </c>
      <c r="I20">
        <v>46195</v>
      </c>
      <c r="J20" t="str">
        <v>Não</v>
      </c>
      <c r="K20" t="str">
        <v>-</v>
      </c>
    </row>
    <row r="21" xml:space="preserve">
      <c r="A21">
        <v>38271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1575</v>
      </c>
      <c r="D21" t="str">
        <v>Jenifer</v>
      </c>
      <c r="E21" t="str">
        <v>Televendas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/>
      </c>
      <c r="G21" t="str">
        <v>Franciele</v>
      </c>
      <c r="H21" t="str">
        <v>Açai</v>
      </c>
      <c r="I21">
        <v>46195</v>
      </c>
      <c r="J21" t="str">
        <v>Não</v>
      </c>
      <c r="K21" t="str">
        <v>-</v>
      </c>
    </row>
    <row r="22" xml:space="preserve">
      <c r="A22">
        <v>42764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1575</v>
      </c>
      <c r="D22" t="str">
        <v>Jenifer</v>
      </c>
      <c r="E22" t="str">
        <v>Televendas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/>
      </c>
      <c r="G22" t="str">
        <v>Franciele</v>
      </c>
      <c r="H22" t="str">
        <v>Açai</v>
      </c>
      <c r="I22">
        <v>46195</v>
      </c>
      <c r="J22" t="str">
        <v>Não</v>
      </c>
    </row>
    <row r="23" xml:space="preserve">
      <c r="A23">
        <v>39696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1575</v>
      </c>
      <c r="D23" t="str">
        <v>Jenifer</v>
      </c>
      <c r="E23" t="str">
        <v>Televendas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/>
      </c>
      <c r="G23" t="str">
        <v>Franciele</v>
      </c>
      <c r="H23" t="str">
        <v>Açai</v>
      </c>
      <c r="I23">
        <v>46195</v>
      </c>
      <c r="J23" t="str">
        <v>Não</v>
      </c>
    </row>
    <row r="24" xml:space="preserve">
      <c r="A24">
        <v>22921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1575</v>
      </c>
      <c r="D24" t="str">
        <v>Jenifer</v>
      </c>
      <c r="E24" t="str">
        <v>Televendas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/>
      </c>
      <c r="G24" t="str">
        <v>Franciele</v>
      </c>
      <c r="H24" t="str">
        <v>Açai</v>
      </c>
      <c r="I24">
        <v>46195</v>
      </c>
      <c r="J24" t="str">
        <v>Não</v>
      </c>
    </row>
  </sheetData>
  <mergeCells count="8">
    <mergeCell ref="A12:N12"/>
    <mergeCell ref="A13:N14"/>
    <mergeCell ref="A16:R16"/>
    <mergeCell ref="A1:R1"/>
    <mergeCell ref="A4:N4"/>
    <mergeCell ref="A5:N6"/>
    <mergeCell ref="A8:N8"/>
    <mergeCell ref="A9:N10"/>
  </mergeCells>
  <pageMargins left="0.7" right="0.7" top="0.75" bottom="0.75" header="0.3" footer="0.3"/>
  <ignoredErrors>
    <ignoredError numberStoredAsText="1" sqref="A1:R24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R20"/>
  <sheetViews>
    <sheetView workbookViewId="0" rightToLeft="0"/>
  </sheetViews>
  <sheetData>
    <row r="1">
      <c r="A1" t="str">
        <v>CAMPANHA BATATA| 45-120 DIAS | TELEVENDAS</v>
      </c>
    </row>
    <row r="4">
      <c r="A4" t="str">
        <v>TEXTO DE DISPARO</v>
      </c>
    </row>
    <row r="5">
      <c r="A5" t="str">
        <v xml:space="preserve">Seu estoque está preparado para as próximas vendas? Temos condições especiais e oportunidades exclusivas nesta semana que podem fazer a diferença para o seu negócio. 👉 Responda esta mensagem e saiba mais. </v>
      </c>
    </row>
    <row r="8">
      <c r="A8" t="str">
        <v>PÚBLICO DE DISPARO</v>
      </c>
    </row>
    <row r="9" xml:space="preserve">
      <c r="A9" t="str" xml:space="preserve">
        <v xml:space="preserve">CNPJ_x000d_
45 à 120 dias sem compra.</v>
      </c>
    </row>
    <row r="12">
      <c r="A12" t="str">
        <v>RESUMO DE DISPARO</v>
      </c>
    </row>
    <row r="13" xml:space="preserve">
      <c r="A13" t="str" xml:space="preserve">
        <v xml:space="preserve">897 contatos totais_x000d_
301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40089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tr">
        <v>Tatiana Lacerda</v>
      </c>
      <c r="E18" t="str">
        <v>Televendas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Serra</v>
      </c>
      <c r="G18" t="str">
        <v>Franciele</v>
      </c>
      <c r="H18" t="str">
        <v>Batata</v>
      </c>
      <c r="I18">
        <v>46196</v>
      </c>
      <c r="J18" t="str">
        <v>Não</v>
      </c>
    </row>
    <row r="19" xml:space="preserve">
      <c r="A19">
        <v>39025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tr">
        <v>Jenifer</v>
      </c>
      <c r="E19" t="str">
        <v>Televendas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t="str">
        <v>Franciele</v>
      </c>
      <c r="H19" t="str">
        <v>Batata</v>
      </c>
      <c r="I19">
        <v>46196</v>
      </c>
      <c r="J19" t="str">
        <v>Não</v>
      </c>
    </row>
    <row r="20" xml:space="preserve">
      <c r="A20">
        <v>42866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6127</v>
      </c>
      <c r="D20" t="str">
        <v>Paulo Renato</v>
      </c>
      <c r="E20" t="str">
        <v>Televendas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Litoral</v>
      </c>
      <c r="G20" t="str">
        <v>Muriel</v>
      </c>
      <c r="H20" t="str">
        <v>Batata</v>
      </c>
      <c r="I20">
        <v>46196</v>
      </c>
      <c r="J20" t="str">
        <v>Sim</v>
      </c>
      <c r="K20">
        <v>926.8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20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R40"/>
  <sheetViews>
    <sheetView workbookViewId="0" rightToLeft="0"/>
  </sheetViews>
  <sheetData>
    <row r="1">
      <c r="A1" t="str">
        <v>CAMPANHA COPA | 20-44 DIAS | REPRESENTANTES</v>
      </c>
    </row>
    <row r="4">
      <c r="A4" t="str">
        <v>TEXTO DE DISPARO</v>
      </c>
    </row>
    <row r="5">
      <c r="A5" t="str">
        <v>Olá! 👋 Responda "QUERO GARANTIR" e aproveite uma condição exclusiva, além de um brinde especial. 🎁 Promoção válida somente hoje. Não perca essa oportunidade!</v>
      </c>
    </row>
    <row r="8">
      <c r="A8" t="str">
        <v>PÚBLICO DE DISPARO</v>
      </c>
    </row>
    <row r="9" xml:space="preserve">
      <c r="A9" t="str" xml:space="preserve">
        <v xml:space="preserve">Todos_x000d_
20 à 44 dias sem compra.</v>
      </c>
    </row>
    <row r="12">
      <c r="A12" t="str">
        <v>RESUMO DE DISPARO</v>
      </c>
    </row>
    <row r="13" xml:space="preserve">
      <c r="A13" t="str" xml:space="preserve">
        <v xml:space="preserve">370 contatos totais_x000d_
183 contatos receberam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35805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1504</v>
      </c>
      <c r="D18" t="str">
        <v>Andreia Lopes</v>
      </c>
      <c r="E18" t="str">
        <v>Externo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Serra</v>
      </c>
      <c r="G18" t="str">
        <v>Jackson</v>
      </c>
      <c r="H18" t="str">
        <v>20 à 30</v>
      </c>
      <c r="I18">
        <v>46197</v>
      </c>
      <c r="J18" t="str">
        <v>Não</v>
      </c>
      <c r="N18">
        <f>7000*0.12</f>
        <v>840</v>
      </c>
    </row>
    <row r="19" xml:space="preserve">
      <c r="A19">
        <v>33273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1328</v>
      </c>
      <c r="D19" t="str">
        <v>Arlecio Lindemann</v>
      </c>
      <c r="E19" t="str">
        <v>Externo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Sul</v>
      </c>
      <c r="G19" t="str">
        <v>Moizes</v>
      </c>
      <c r="H19" t="str">
        <v>20 à 30</v>
      </c>
      <c r="I19">
        <v>46197</v>
      </c>
      <c r="J19" t="str">
        <v>Não</v>
      </c>
      <c r="M19">
        <f>22/183</f>
        <v>0.12021857923497267</v>
      </c>
    </row>
    <row r="20" xml:space="preserve">
      <c r="A20">
        <v>41838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1525</v>
      </c>
      <c r="D20" t="str">
        <v>Dionis Jose</v>
      </c>
      <c r="E20" t="str">
        <v>Externo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Vale dos Sinos</v>
      </c>
      <c r="G20" t="str">
        <v>Leonardo</v>
      </c>
      <c r="H20" t="str">
        <v>20 à 30</v>
      </c>
      <c r="I20">
        <v>46197</v>
      </c>
      <c r="J20" t="str">
        <v>Não</v>
      </c>
      <c r="O20">
        <f>840*3000</f>
        <v>2520000</v>
      </c>
    </row>
    <row r="21" xml:space="preserve">
      <c r="A21">
        <v>45509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1581</v>
      </c>
      <c r="D21" t="str">
        <v>Douglas Montagna</v>
      </c>
      <c r="E21" t="str">
        <v>Externo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Grande POA</v>
      </c>
      <c r="G21" t="str">
        <v>Juliano</v>
      </c>
      <c r="H21" t="str">
        <v>20 à 30</v>
      </c>
      <c r="I21">
        <v>46197</v>
      </c>
      <c r="J21" t="str">
        <v>Sim</v>
      </c>
      <c r="K21">
        <v>21.89</v>
      </c>
    </row>
    <row r="22" xml:space="preserve">
      <c r="A22">
        <v>33133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1234</v>
      </c>
      <c r="D22" t="str">
        <v>Elisiane Lambrechtt</v>
      </c>
      <c r="E22" t="str">
        <v>Externo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Grande POA</v>
      </c>
      <c r="G22" t="str">
        <v>Juliano</v>
      </c>
      <c r="H22" t="str">
        <v>20 à 30</v>
      </c>
      <c r="I22">
        <v>46197</v>
      </c>
      <c r="J22" t="str">
        <v>Sim</v>
      </c>
      <c r="K22">
        <v>806.09</v>
      </c>
    </row>
    <row r="23" xml:space="preserve">
      <c r="A23">
        <v>15571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9937</v>
      </c>
      <c r="D23" t="str">
        <v>Gislaine Muller</v>
      </c>
      <c r="E23" t="str">
        <v>Externo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Vale dos Sinos</v>
      </c>
      <c r="G23" t="str">
        <v>Leonardo</v>
      </c>
      <c r="H23" t="str">
        <v>20 à 30</v>
      </c>
      <c r="I23">
        <v>46197</v>
      </c>
      <c r="J23" t="str">
        <v>Sim</v>
      </c>
      <c r="K23">
        <v>188.51</v>
      </c>
    </row>
    <row r="24" xml:space="preserve">
      <c r="A24">
        <v>28658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9937</v>
      </c>
      <c r="D24" t="str">
        <v>Gislaine Muller</v>
      </c>
      <c r="E24" t="str">
        <v>Externo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Vale dos Sinos</v>
      </c>
      <c r="G24" t="str">
        <v>Leonardo</v>
      </c>
      <c r="H24" t="str">
        <v>20 à 30</v>
      </c>
      <c r="I24">
        <v>46197</v>
      </c>
      <c r="J24" t="str">
        <v>Não</v>
      </c>
    </row>
    <row r="25" xml:space="preserve">
      <c r="A25">
        <v>2753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1518</v>
      </c>
      <c r="D25" t="str">
        <v>Henrique Godinho</v>
      </c>
      <c r="E25" t="str">
        <v>Externo</v>
      </c>
      <c r="F25" t="str" cm="1" xml:space="preserve">
        <f t="array" ref="F25" xml:space="preserve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Grande POA</v>
      </c>
      <c r="G25" t="str">
        <v>Juliano</v>
      </c>
      <c r="H25" t="str">
        <v>20 à 30</v>
      </c>
      <c r="I25">
        <v>46197</v>
      </c>
      <c r="J25" t="str">
        <v>Não</v>
      </c>
    </row>
    <row r="26" xml:space="preserve">
      <c r="A26">
        <v>43676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9863</v>
      </c>
      <c r="D26" t="str">
        <v>Rose - Nelvara</v>
      </c>
      <c r="E26" t="str">
        <v>Externo</v>
      </c>
      <c r="F26" t="str" cm="1" xml:space="preserve">
        <f t="array" ref="F26" xml:space="preserve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Sul</v>
      </c>
      <c r="G26" t="str">
        <v>Moizes</v>
      </c>
      <c r="H26" t="str">
        <v>20 à 30</v>
      </c>
      <c r="I26">
        <v>46197</v>
      </c>
      <c r="J26" t="str">
        <v>Sim</v>
      </c>
      <c r="K26">
        <v>537.24</v>
      </c>
    </row>
    <row r="27" xml:space="preserve">
      <c r="A27">
        <v>16379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9863</v>
      </c>
      <c r="D27" t="str">
        <v>Rose - Nelvara</v>
      </c>
      <c r="E27" t="str">
        <v>Externo</v>
      </c>
      <c r="F27" t="str" cm="1" xml:space="preserve">
        <f t="array" ref="F27" xml:space="preserve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Sul</v>
      </c>
      <c r="G27" t="str">
        <v>Moizes</v>
      </c>
      <c r="H27" t="str">
        <v>20 à 30</v>
      </c>
      <c r="I27">
        <v>46197</v>
      </c>
      <c r="J27" t="str">
        <v>Sim</v>
      </c>
      <c r="K27">
        <v>497.53</v>
      </c>
    </row>
    <row r="28" xml:space="preserve">
      <c r="A28">
        <v>45465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9872</v>
      </c>
      <c r="D28" t="str">
        <v>Viviane Botelho</v>
      </c>
      <c r="E28" t="str">
        <v>Externo</v>
      </c>
      <c r="F28" t="str" cm="1" xml:space="preserve">
        <f t="array" ref="F28" xml:space="preserve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Sul</v>
      </c>
      <c r="G28" t="str">
        <v>Moizes</v>
      </c>
      <c r="H28" t="str">
        <v>20 à 30</v>
      </c>
      <c r="I28">
        <v>46197</v>
      </c>
      <c r="J28" t="str">
        <v>Sim</v>
      </c>
      <c r="K28">
        <v>277.2</v>
      </c>
    </row>
    <row r="29" xml:space="preserve">
      <c r="A29">
        <v>2738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1596</v>
      </c>
      <c r="D29" t="str">
        <v>Ariane Quebao</v>
      </c>
      <c r="E29" t="str">
        <v>Televendas</v>
      </c>
      <c r="F29" t="str" cm="1" xml:space="preserve">
        <f t="array" ref="F29" xml:space="preserve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Grande POA</v>
      </c>
      <c r="G29" t="str">
        <v>Franciele</v>
      </c>
      <c r="H29" t="str">
        <v>30 à 44</v>
      </c>
      <c r="I29">
        <v>46197</v>
      </c>
      <c r="J29" t="str">
        <v>Não</v>
      </c>
    </row>
    <row r="30" xml:space="preserve">
      <c r="A30">
        <v>43289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1464</v>
      </c>
      <c r="D30" t="str">
        <v>Camila Arruda</v>
      </c>
      <c r="E30" t="str">
        <v>Televendas</v>
      </c>
      <c r="F30" t="str" cm="1" xml:space="preserve">
        <f t="array" ref="F30" xml:space="preserve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Sul</v>
      </c>
      <c r="G30" t="str">
        <v>Franciele</v>
      </c>
      <c r="H30" t="str">
        <v>30 à 44</v>
      </c>
      <c r="I30">
        <v>46197</v>
      </c>
      <c r="J30" t="str">
        <v>Não</v>
      </c>
    </row>
    <row r="31" xml:space="preserve">
      <c r="A31">
        <v>31819</v>
      </c>
      <c r="B31" t="str">
        <v>Teve Interesse</v>
      </c>
      <c r="C31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9937</v>
      </c>
      <c r="D31" t="str">
        <v>Gislaine Muller</v>
      </c>
      <c r="E31" t="str">
        <v>Externo</v>
      </c>
      <c r="F31" t="str" cm="1" xml:space="preserve">
        <f t="array" ref="F31" xml:space="preserve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Vale dos Sinos</v>
      </c>
      <c r="G31" t="str">
        <v>Leonardo</v>
      </c>
      <c r="H31" t="str">
        <v>30 à 44</v>
      </c>
      <c r="I31">
        <v>46197</v>
      </c>
      <c r="J31" t="str">
        <v>Não</v>
      </c>
    </row>
    <row r="32" xml:space="preserve">
      <c r="A32">
        <v>42415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9911</v>
      </c>
      <c r="D32" t="str">
        <v>Jairo Costa</v>
      </c>
      <c r="E32" t="str">
        <v>Externo</v>
      </c>
      <c r="F32" t="str" cm="1" xml:space="preserve">
        <f t="array" ref="F32" xml:space="preserve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Sul</v>
      </c>
      <c r="G32" t="str">
        <v>Moizes</v>
      </c>
      <c r="H32" t="str">
        <v>30 à 44</v>
      </c>
      <c r="I32">
        <v>46197</v>
      </c>
      <c r="J32" t="str">
        <v>Sim</v>
      </c>
      <c r="K32">
        <v>190.97</v>
      </c>
    </row>
    <row r="33" xml:space="preserve">
      <c r="A33">
        <v>40618</v>
      </c>
      <c r="B33" t="str">
        <v>Teve Interesse</v>
      </c>
      <c r="C33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1278</v>
      </c>
      <c r="D33" t="str">
        <v>Moacir Lopes</v>
      </c>
      <c r="E33" t="str">
        <v>Externo</v>
      </c>
      <c r="F33" t="str" cm="1" xml:space="preserve">
        <f t="array" ref="F33" xml:space="preserve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Grande POA</v>
      </c>
      <c r="G33" t="str">
        <v>Juliano</v>
      </c>
      <c r="H33" t="str">
        <v>30 à 44</v>
      </c>
      <c r="I33">
        <v>46197</v>
      </c>
      <c r="J33" t="str">
        <v>Sim</v>
      </c>
      <c r="K33">
        <v>797.04</v>
      </c>
    </row>
    <row r="34" xml:space="preserve">
      <c r="A34">
        <v>24553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1150</v>
      </c>
      <c r="D34" t="str">
        <v>Nei Xavier</v>
      </c>
      <c r="E34" t="str">
        <v>Externo</v>
      </c>
      <c r="F34" t="str" cm="1" xml:space="preserve">
        <f t="array" ref="F34" xml:space="preserve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Grande POA</v>
      </c>
      <c r="G34" t="str">
        <v>Juliano</v>
      </c>
      <c r="H34" t="str">
        <v>30 à 44</v>
      </c>
      <c r="I34">
        <v>46197</v>
      </c>
      <c r="J34" t="str">
        <v>Sim</v>
      </c>
      <c r="K34">
        <v>561.78</v>
      </c>
    </row>
    <row r="35" xml:space="preserve">
      <c r="A35">
        <v>27951</v>
      </c>
      <c r="B35" t="str">
        <v>Teve Interesse</v>
      </c>
      <c r="C35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1217</v>
      </c>
      <c r="D35" t="str">
        <v>Raquel Ricardo</v>
      </c>
      <c r="E35" t="str">
        <v>Externo</v>
      </c>
      <c r="F35" t="str" cm="1" xml:space="preserve">
        <f t="array" ref="F35" xml:space="preserve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Vale dos Sinos</v>
      </c>
      <c r="G35" t="str">
        <v>Leonardo</v>
      </c>
      <c r="H35" t="str">
        <v>30 à 44</v>
      </c>
      <c r="I35">
        <v>46197</v>
      </c>
      <c r="J35" t="str">
        <v>Sim</v>
      </c>
      <c r="K35">
        <v>14790.6</v>
      </c>
    </row>
    <row r="36" xml:space="preserve">
      <c r="A36">
        <v>42440</v>
      </c>
      <c r="B36" t="str">
        <v>Teve Interesse</v>
      </c>
      <c r="C36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9886</v>
      </c>
      <c r="D36" t="str">
        <v>Tatiana Lacerda</v>
      </c>
      <c r="E36" t="str">
        <v>Televendas</v>
      </c>
      <c r="F36" t="str" cm="1" xml:space="preserve">
        <f t="array" ref="F36" xml:space="preserve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Serra</v>
      </c>
      <c r="G36" t="str">
        <v>Franciele</v>
      </c>
      <c r="H36" t="str">
        <v>30 à 44</v>
      </c>
      <c r="I36">
        <v>46197</v>
      </c>
      <c r="J36" t="str">
        <v>Não</v>
      </c>
    </row>
    <row r="37" xml:space="preserve">
      <c r="A37">
        <v>7862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9839</v>
      </c>
      <c r="D37" t="str">
        <v>Timoteo Hellwing</v>
      </c>
      <c r="E37" t="str">
        <v>Externo</v>
      </c>
      <c r="F37" t="str" cm="1" xml:space="preserve">
        <f t="array" ref="F37" xml:space="preserve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Sul</v>
      </c>
      <c r="G37" t="str">
        <v>Moizes</v>
      </c>
      <c r="H37" t="str">
        <v>30 à 44</v>
      </c>
      <c r="I37">
        <v>46197</v>
      </c>
      <c r="J37" t="str">
        <v>Sim</v>
      </c>
      <c r="K37">
        <v>427.46</v>
      </c>
    </row>
    <row r="38" xml:space="preserve">
      <c r="A38">
        <v>44751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9872</v>
      </c>
      <c r="D38" t="str">
        <v>Viviane Botelho</v>
      </c>
      <c r="E38" t="str">
        <v>Externo</v>
      </c>
      <c r="F38" t="str" cm="1" xml:space="preserve">
        <f t="array" ref="F38" xml:space="preserve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Sul</v>
      </c>
      <c r="G38" t="str">
        <v>Moizes</v>
      </c>
      <c r="H38" t="str">
        <v>30 à 44</v>
      </c>
      <c r="I38">
        <v>46197</v>
      </c>
      <c r="J38" t="str">
        <v>Sim</v>
      </c>
      <c r="K38">
        <v>556</v>
      </c>
    </row>
    <row r="39" xml:space="preserve">
      <c r="A39">
        <v>41914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1335</v>
      </c>
      <c r="D39" t="str">
        <v>Volnei Klug</v>
      </c>
      <c r="E39" t="str">
        <v>Externo</v>
      </c>
      <c r="F39" t="str" cm="1" xml:space="preserve">
        <f t="array" ref="F39" xml:space="preserve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Sul</v>
      </c>
      <c r="G39" t="str">
        <v>Moizes</v>
      </c>
      <c r="H39" t="str">
        <v>30 à 44</v>
      </c>
      <c r="I39">
        <v>46197</v>
      </c>
      <c r="J39" t="str">
        <v>Não</v>
      </c>
    </row>
    <row r="40">
      <c r="K40">
        <f>SUM(K18:K39)</f>
        <v>19652.309999999998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40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A1:R46"/>
  <sheetViews>
    <sheetView workbookViewId="0" rightToLeft="0"/>
  </sheetViews>
  <sheetData>
    <row r="1">
      <c r="A1" t="str">
        <v>CAMPANHA DIA DO AÇAÍ | 45-120 DIAS | TELEVENDAS</v>
      </c>
    </row>
    <row r="4">
      <c r="A4" t="str">
        <v>TEXTO DE DISPARO</v>
      </c>
    </row>
    <row r="5">
      <c r="A5" t="str">
        <v>🚨 HOJE É O DIA DO AÇAÍ NA MAR! Condições especiais, preços exclusivos e estoque limitado para você abastecer seu negócio. ⏰ As ofertas são válidas somente hoje. 📲 Responda *QUERO A OFERTA* e fale com nossa equipe.</v>
      </c>
    </row>
    <row r="8">
      <c r="A8" t="str">
        <v>PÚBLICO DE DISPARO</v>
      </c>
    </row>
    <row r="9" xml:space="preserve">
      <c r="A9" t="str" xml:space="preserve">
        <v xml:space="preserve">Todos_x000d_
45 à 120 dias sem compra.</v>
      </c>
    </row>
    <row r="12">
      <c r="A12" t="str">
        <v>RESUMO DE DISPARO</v>
      </c>
    </row>
    <row r="13" xml:space="preserve">
      <c r="A13" t="str" xml:space="preserve">
        <v xml:space="preserve">1144 contatos totais_x000d_
812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26967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1575</v>
      </c>
      <c r="D18" t="str">
        <v>Jenifer</v>
      </c>
      <c r="E18" t="str">
        <v>Televendas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/>
      </c>
      <c r="G18" t="str">
        <v>Franciele</v>
      </c>
      <c r="H18" t="str">
        <v>Açai</v>
      </c>
      <c r="I18">
        <v>46198</v>
      </c>
      <c r="J18" t="str">
        <v>Não</v>
      </c>
    </row>
    <row r="19" xml:space="preserve">
      <c r="A19">
        <v>43680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1575</v>
      </c>
      <c r="D19" t="str">
        <v>Jenifer</v>
      </c>
      <c r="E19" t="str">
        <v>Televendas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/>
      </c>
      <c r="G19" t="str">
        <v>Franciele</v>
      </c>
      <c r="H19" t="str">
        <v>Açai</v>
      </c>
      <c r="I19">
        <v>46198</v>
      </c>
      <c r="J19" t="str">
        <v>Não</v>
      </c>
    </row>
    <row r="20" xml:space="preserve">
      <c r="A20">
        <v>43777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1575</v>
      </c>
      <c r="D20" t="str">
        <v>Jenifer</v>
      </c>
      <c r="E20" t="str">
        <v>Televendas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/>
      </c>
      <c r="G20" t="str">
        <v>Franciele</v>
      </c>
      <c r="H20" t="str">
        <v>Açai</v>
      </c>
      <c r="I20">
        <v>46198</v>
      </c>
      <c r="J20" t="str">
        <v>Não</v>
      </c>
    </row>
    <row r="21" xml:space="preserve">
      <c r="A21">
        <v>42586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1575</v>
      </c>
      <c r="D21" t="str">
        <v>Jenifer</v>
      </c>
      <c r="E21" t="str">
        <v>Televendas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/>
      </c>
      <c r="G21" t="str">
        <v>Franciele</v>
      </c>
      <c r="H21" t="str">
        <v>Açai</v>
      </c>
      <c r="I21">
        <v>46198</v>
      </c>
      <c r="J21" t="str">
        <v>Não</v>
      </c>
    </row>
    <row r="22" xml:space="preserve">
      <c r="A22">
        <v>41199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1575</v>
      </c>
      <c r="D22" t="str">
        <v>Jenifer</v>
      </c>
      <c r="E22" t="str">
        <v>Televendas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/>
      </c>
      <c r="G22" t="str">
        <v>Franciele</v>
      </c>
      <c r="H22" t="str">
        <v>Açai</v>
      </c>
      <c r="I22">
        <v>46198</v>
      </c>
      <c r="J22" t="str">
        <v>Não</v>
      </c>
    </row>
    <row r="23" xml:space="preserve">
      <c r="A23">
        <v>42136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1575</v>
      </c>
      <c r="D23" t="str">
        <v>Jenifer</v>
      </c>
      <c r="E23" t="str">
        <v>Televendas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/>
      </c>
      <c r="G23" t="str">
        <v>Franciele</v>
      </c>
      <c r="H23" t="str">
        <v>Açai</v>
      </c>
      <c r="I23">
        <v>46198</v>
      </c>
      <c r="J23" t="str">
        <v>Não</v>
      </c>
    </row>
    <row r="24" xml:space="preserve">
      <c r="A24">
        <v>36147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1575</v>
      </c>
      <c r="D24" t="str">
        <v>Jenifer</v>
      </c>
      <c r="E24" t="str">
        <v>Televendas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/>
      </c>
      <c r="G24" t="str">
        <v>Franciele</v>
      </c>
      <c r="H24" t="str">
        <v>Açai</v>
      </c>
      <c r="I24">
        <v>46198</v>
      </c>
      <c r="J24" t="str">
        <v>Não</v>
      </c>
    </row>
    <row r="25" xml:space="preserve">
      <c r="A25">
        <v>39168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1575</v>
      </c>
      <c r="D25" t="str">
        <v>Jenifer</v>
      </c>
      <c r="E25" t="str">
        <v>Televendas</v>
      </c>
      <c r="F25" t="str" cm="1" xml:space="preserve">
        <f t="array" ref="F25" xml:space="preserve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/>
      </c>
      <c r="G25" t="str">
        <v>Franciele</v>
      </c>
      <c r="H25" t="str">
        <v>Açai</v>
      </c>
      <c r="I25">
        <v>46198</v>
      </c>
      <c r="J25" t="str">
        <v>Não</v>
      </c>
    </row>
    <row r="26" xml:space="preserve">
      <c r="A26">
        <v>35940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9886</v>
      </c>
      <c r="D26" t="str">
        <v>Tatiana Lacerda</v>
      </c>
      <c r="E26" t="str">
        <v>Televendas</v>
      </c>
      <c r="F26" t="str" cm="1" xml:space="preserve">
        <f t="array" ref="F26" xml:space="preserve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Serra</v>
      </c>
      <c r="G26" t="str">
        <v>Franciele</v>
      </c>
      <c r="H26" t="str">
        <v>Açai</v>
      </c>
      <c r="I26">
        <v>46198</v>
      </c>
      <c r="J26" t="str">
        <v>Não</v>
      </c>
    </row>
    <row r="27" xml:space="preserve">
      <c r="A27">
        <v>38434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1575</v>
      </c>
      <c r="D27" t="str">
        <v>Jenifer</v>
      </c>
      <c r="E27" t="str">
        <v>Televendas</v>
      </c>
      <c r="F27" t="str" cm="1" xml:space="preserve">
        <f t="array" ref="F27" xml:space="preserve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/>
      </c>
      <c r="G27" t="str">
        <v>Franciele</v>
      </c>
      <c r="H27" t="str">
        <v>Açai</v>
      </c>
      <c r="I27">
        <v>46198</v>
      </c>
      <c r="J27" t="str">
        <v>Não</v>
      </c>
    </row>
    <row r="28" xml:space="preserve">
      <c r="A28">
        <v>42416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1575</v>
      </c>
      <c r="D28" t="str">
        <v>Jenifer</v>
      </c>
      <c r="E28" t="str">
        <v>Televendas</v>
      </c>
      <c r="F28" t="str" cm="1" xml:space="preserve">
        <f t="array" ref="F28" xml:space="preserve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/>
      </c>
      <c r="G28" t="str">
        <v>Franciele</v>
      </c>
      <c r="H28" t="str">
        <v>Açai</v>
      </c>
      <c r="I28">
        <v>46198</v>
      </c>
      <c r="J28" t="str">
        <v>Não</v>
      </c>
    </row>
    <row r="29" xml:space="preserve">
      <c r="A29">
        <v>43959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1575</v>
      </c>
      <c r="D29" t="str">
        <v>Jenifer</v>
      </c>
      <c r="E29" t="str">
        <v>Televendas</v>
      </c>
      <c r="F29" t="str" cm="1" xml:space="preserve">
        <f t="array" ref="F29" xml:space="preserve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/>
      </c>
      <c r="G29" t="str">
        <v>Franciele</v>
      </c>
      <c r="H29" t="str">
        <v>Açai</v>
      </c>
      <c r="I29">
        <v>46198</v>
      </c>
      <c r="J29" t="str">
        <v>não</v>
      </c>
    </row>
    <row r="30" xml:space="preserve">
      <c r="A30">
        <v>37820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1575</v>
      </c>
      <c r="D30" t="str">
        <v>Jenifer</v>
      </c>
      <c r="E30" t="str">
        <v>Televendas</v>
      </c>
      <c r="F30" t="str" cm="1" xml:space="preserve">
        <f t="array" ref="F30" xml:space="preserve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/>
      </c>
      <c r="G30" t="str">
        <v>Franciele</v>
      </c>
      <c r="H30" t="str">
        <v>Açai</v>
      </c>
      <c r="I30">
        <v>46198</v>
      </c>
      <c r="J30" t="str">
        <v>Não</v>
      </c>
    </row>
    <row r="31" xml:space="preserve">
      <c r="A31" t="str">
        <v xml:space="preserve">44006 </v>
      </c>
      <c r="B31" t="str">
        <v>Teve Interesse</v>
      </c>
      <c r="C31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1575</v>
      </c>
      <c r="D31" t="str">
        <v>Jenifer</v>
      </c>
      <c r="E31" t="str">
        <v>Televendas</v>
      </c>
      <c r="F31" t="str" cm="1" xml:space="preserve">
        <f t="array" ref="F31" xml:space="preserve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/>
      </c>
      <c r="G31" t="str">
        <v>Franciele</v>
      </c>
      <c r="H31" t="str">
        <v>Açai</v>
      </c>
      <c r="I31">
        <v>46198</v>
      </c>
      <c r="J31" t="str">
        <v>Não</v>
      </c>
    </row>
    <row r="32" xml:space="preserve">
      <c r="A32" t="str">
        <v xml:space="preserve">39962 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1575</v>
      </c>
      <c r="D32" t="str">
        <v>Jenifer</v>
      </c>
      <c r="E32" t="str">
        <v>Televendas</v>
      </c>
      <c r="F32" t="str" cm="1" xml:space="preserve">
        <f t="array" ref="F32" xml:space="preserve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/>
      </c>
      <c r="G32" t="str">
        <v>Franciele</v>
      </c>
      <c r="H32" t="str">
        <v>Açai</v>
      </c>
      <c r="I32">
        <v>46198</v>
      </c>
      <c r="J32" t="str">
        <v>Não</v>
      </c>
    </row>
    <row r="33" xml:space="preserve">
      <c r="A33">
        <v>32156</v>
      </c>
      <c r="B33" t="str">
        <v>Teve Interesse</v>
      </c>
      <c r="C33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1596</v>
      </c>
      <c r="D33" t="str">
        <v>Ariane Quebao</v>
      </c>
      <c r="E33" t="str">
        <v>Televendas</v>
      </c>
      <c r="F33" t="str" cm="1" xml:space="preserve">
        <f t="array" ref="F33" xml:space="preserve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Grande POA</v>
      </c>
      <c r="G33" t="str">
        <v>Franciele</v>
      </c>
      <c r="H33" t="str">
        <v>Açai</v>
      </c>
      <c r="I33">
        <v>46198</v>
      </c>
      <c r="J33" t="str">
        <v>Não</v>
      </c>
    </row>
    <row r="34" xml:space="preserve">
      <c r="A34">
        <v>45001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1429</v>
      </c>
      <c r="D34" t="str">
        <v>Natalia</v>
      </c>
      <c r="E34" t="str">
        <v>Televendas</v>
      </c>
      <c r="F34" t="str" cm="1" xml:space="preserve">
        <f t="array" ref="F34" xml:space="preserve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Vale dos Sinos</v>
      </c>
      <c r="G34" t="str">
        <v>Franciele</v>
      </c>
      <c r="H34" t="str">
        <v>Açai</v>
      </c>
      <c r="I34">
        <v>46198</v>
      </c>
      <c r="J34" t="str">
        <v>Não</v>
      </c>
    </row>
    <row r="35" xml:space="preserve">
      <c r="A35">
        <v>38288</v>
      </c>
      <c r="B35" t="str">
        <v>Teve Interesse</v>
      </c>
      <c r="C35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9886</v>
      </c>
      <c r="D35" t="str">
        <v>Tatiana Lacerda</v>
      </c>
      <c r="E35" t="str">
        <v>Televendas</v>
      </c>
      <c r="F35" t="str" cm="1" xml:space="preserve">
        <f t="array" ref="F35" xml:space="preserve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Serra</v>
      </c>
      <c r="G35" t="str">
        <v>Franciele</v>
      </c>
      <c r="H35" t="str">
        <v>Açai</v>
      </c>
      <c r="I35">
        <v>46198</v>
      </c>
      <c r="J35" t="str">
        <v>Não</v>
      </c>
    </row>
    <row r="36" xml:space="preserve">
      <c r="A36">
        <v>36248</v>
      </c>
      <c r="B36" t="str">
        <v>Teve compra</v>
      </c>
      <c r="C36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1596</v>
      </c>
      <c r="D36" t="str">
        <v>Ariane Quebao</v>
      </c>
      <c r="E36" t="str">
        <v>Televendas</v>
      </c>
      <c r="F36" t="str" cm="1" xml:space="preserve">
        <f t="array" ref="F36" xml:space="preserve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Grande POA</v>
      </c>
      <c r="G36" t="str">
        <v>Franciele</v>
      </c>
      <c r="H36" t="str">
        <v>Açai</v>
      </c>
      <c r="I36">
        <v>46198</v>
      </c>
      <c r="J36" t="str">
        <v>Sim</v>
      </c>
      <c r="K36">
        <v>264.39</v>
      </c>
    </row>
    <row r="37" xml:space="preserve">
      <c r="A37">
        <v>41723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1464</v>
      </c>
      <c r="D37" t="str">
        <v>Camila Arruda</v>
      </c>
      <c r="E37" t="str">
        <v>Televendas</v>
      </c>
      <c r="F37" t="str" cm="1" xml:space="preserve">
        <f t="array" ref="F37" xml:space="preserve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Sul</v>
      </c>
      <c r="G37" t="str">
        <v>Franciele</v>
      </c>
      <c r="H37" t="str">
        <v>Açai</v>
      </c>
      <c r="I37">
        <v>46198</v>
      </c>
      <c r="J37" t="str">
        <v>Não</v>
      </c>
    </row>
    <row r="38" xml:space="preserve">
      <c r="A38">
        <v>41371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1596</v>
      </c>
      <c r="D38" t="str">
        <v>Ariane Quebao</v>
      </c>
      <c r="E38" t="str">
        <v>Televendas</v>
      </c>
      <c r="F38" t="str" cm="1" xml:space="preserve">
        <f t="array" ref="F38" xml:space="preserve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Grande POA</v>
      </c>
      <c r="G38" t="str">
        <v>Franciele</v>
      </c>
      <c r="H38" t="str">
        <v>Açai</v>
      </c>
      <c r="I38">
        <v>46198</v>
      </c>
      <c r="J38" t="str">
        <v>Não</v>
      </c>
    </row>
    <row r="39" xml:space="preserve">
      <c r="A39">
        <v>38579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1429</v>
      </c>
      <c r="D39" t="str">
        <v>Natalia</v>
      </c>
      <c r="E39" t="str">
        <v>Televendas</v>
      </c>
      <c r="F39" t="str" cm="1" xml:space="preserve">
        <f t="array" ref="F39" xml:space="preserve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Vale dos Sinos</v>
      </c>
      <c r="G39" t="str">
        <v>Franciele</v>
      </c>
      <c r="H39" t="str">
        <v>Açai</v>
      </c>
      <c r="I39">
        <v>46198</v>
      </c>
      <c r="J39" t="str">
        <v>Não</v>
      </c>
    </row>
    <row r="40" xml:space="preserve">
      <c r="A40">
        <v>43770</v>
      </c>
      <c r="B40" t="str">
        <v>Teve Interesse</v>
      </c>
      <c r="C40" xml:space="preserve">
        <f xml:space="preserve">IF(D40="Cristielen",1211,
IF(D40="Jenifer",1575,
IF(D40="Tatiana Lacerda",9886,
IF(D40="Andreia Lopes",1504,
IF(D40="Arlecio Lindemann",1328,
IF(D40="Dionis Jose",1525,
IF(D40="Douglas Montagna",1581,
IF(D40="Elisiane Lambrechtt",1234,
IF(D40="Gislaine Muller",9937,
IF(D40="Henrique Godinho",1518,
IF(D40="Rose - Nelvara",9863,
IF(D40="Viviane Botelho",9872,
IF(D40="Ariane Quebao",1596,
IF(D40="Ariane",1596,
IF(D40="Camila Arruda",1464,
IF(D40="Camila",1464,
IF(D40="Jairo Costa",9911,
IF(D40="Moacir Lopes",1278,
IF(D40="Nei Xavier",1150,
IF(D40="Raquel Ricardo",1217,
IF(D40="Timoteo Hellwing",9839,
IF(D40="Volnei Klug",1335,
IF(D40="Natalia",1429,
IF(D40="Wagner da Silva",1623,
IF(D40="Marcelo de Souza",9808,
IF(D40="Fernando Moura",1450,
IF(D40="Paulo Renato",6127,
IF(D40="Vinicios da Luz",9905,
IF(D40="Bruno Santos",1273,
IF(D40="Mauricio Keenan",1500,
IF(D40="Juliano Lause",1544,
IF(D40="Guilherme Juhliano",1522,
IF(D40="Timoteo",9839,
IF(D40="Carlos Alberto",1615,
IF(D40="Anaina Schmidt",1503,
IF(D40="Rose - Nelvaira",9863,
IF(D40="Henrik Von Muhlen",1280,
IF(D40="Luiz Olavo",1607,
IF(D40="Sidimar Luis",1325,
IF(D40="Thiago Fraga",1604,""))))))))))))))))))))))))))))))))))))))))</f>
        <v>1464</v>
      </c>
      <c r="D40" t="str">
        <v>Camila Arruda</v>
      </c>
      <c r="E40" t="str">
        <v>Televendas</v>
      </c>
      <c r="F40" t="str" cm="1" xml:space="preserve">
        <f t="array" ref="F40" xml:space="preserve">IFS(
D40="Andreia Lopes","Serra",
D40="Arlecio Lindemann","Sul",
D40="Dionis Jose","Vale dos Sinos",
D40="Douglas Montagna","Grande POA",
D40="Elisiane Lambrechtt","Grande POA",
D40="Gislaine Muller","Vale dos Sinos",
D40="Henrique Godinho","Grande POA",
D40="Rose - Nelvara","Sul",
D40="Viviane Botelho","Sul",
D40="Ariane Quebao","Grande POA",
D40="Camila Arruda","Sul",
D40="Jairo Costa","Sul",
D40="Moacir Lopes","Grande POA",
D40="Nei Xavier","Grande POA",
D40="Raquel Ricardo","Vale dos Sinos",
D40="Tatiana Lacerda","Serra",
D40="Timoteo Hellwing","Sul",
D40="Volnei Klug","Sul",
D40="Wagner da Silva","Vale dos Sinos",
D40="Marcelo de Souza","Sul",
D40="Fernando Moura","Serra",
D40="Paulo Renato","Litoral",
D40="Vinicios da Luz","Litoral",
D40="Bruno Santos","Litoral",
D40="Mauricio Keenan","Sul",
D40="Cristielen","Litoral",
D40="Juliano Lause","Grande POA",
D40="Thiago Fraga","Vale dos Sinos",
D40="Natalia","Vale dos Sinos",
D40="Guilherme Juhliano","Grande POA",
D40="Timoteo","Sul",
D40="Carlos Alberto","Sul",
D40="Anaina Schmidt","Sul",
D40="Rose - Nelvaira","Sul",
D40="Henrik Von Muhlen","Serra",
TRUE,""
)</f>
        <v>Sul</v>
      </c>
      <c r="G40" t="str">
        <v>Franciele</v>
      </c>
      <c r="H40" t="str">
        <v>Açai</v>
      </c>
      <c r="I40">
        <v>46198</v>
      </c>
      <c r="J40" t="str">
        <v>Não</v>
      </c>
    </row>
    <row r="41" xml:space="preserve">
      <c r="A41">
        <v>30929</v>
      </c>
      <c r="B41" t="str">
        <v>Teve Interesse</v>
      </c>
      <c r="C41" xml:space="preserve">
        <f xml:space="preserve">IF(D41="Cristielen",1211,
IF(D41="Jenifer",1575,
IF(D41="Tatiana Lacerda",9886,
IF(D41="Andreia Lopes",1504,
IF(D41="Arlecio Lindemann",1328,
IF(D41="Dionis Jose",1525,
IF(D41="Douglas Montagna",1581,
IF(D41="Elisiane Lambrechtt",1234,
IF(D41="Gislaine Muller",9937,
IF(D41="Henrique Godinho",1518,
IF(D41="Rose - Nelvara",9863,
IF(D41="Viviane Botelho",9872,
IF(D41="Ariane Quebao",1596,
IF(D41="Ariane",1596,
IF(D41="Camila Arruda",1464,
IF(D41="Camila",1464,
IF(D41="Jairo Costa",9911,
IF(D41="Moacir Lopes",1278,
IF(D41="Nei Xavier",1150,
IF(D41="Raquel Ricardo",1217,
IF(D41="Timoteo Hellwing",9839,
IF(D41="Volnei Klug",1335,
IF(D41="Natalia",1429,
IF(D41="Wagner da Silva",1623,
IF(D41="Marcelo de Souza",9808,
IF(D41="Fernando Moura",1450,
IF(D41="Paulo Renato",6127,
IF(D41="Vinicios da Luz",9905,
IF(D41="Bruno Santos",1273,
IF(D41="Mauricio Keenan",1500,
IF(D41="Juliano Lause",1544,
IF(D41="Guilherme Juhliano",1522,
IF(D41="Timoteo",9839,
IF(D41="Carlos Alberto",1615,
IF(D41="Anaina Schmidt",1503,
IF(D41="Rose - Nelvaira",9863,
IF(D41="Henrik Von Muhlen",1280,
IF(D41="Luiz Olavo",1607,
IF(D41="Sidimar Luis",1325,
IF(D41="Thiago Fraga",1604,""))))))))))))))))))))))))))))))))))))))))</f>
        <v>1464</v>
      </c>
      <c r="D41" t="str">
        <v>Camila Arruda</v>
      </c>
      <c r="E41" t="str">
        <v>Televendas</v>
      </c>
      <c r="F41" t="str" cm="1" xml:space="preserve">
        <f t="array" ref="F41" xml:space="preserve">IFS(
D41="Andreia Lopes","Serra",
D41="Arlecio Lindemann","Sul",
D41="Dionis Jose","Vale dos Sinos",
D41="Douglas Montagna","Grande POA",
D41="Elisiane Lambrechtt","Grande POA",
D41="Gislaine Muller","Vale dos Sinos",
D41="Henrique Godinho","Grande POA",
D41="Rose - Nelvara","Sul",
D41="Viviane Botelho","Sul",
D41="Ariane Quebao","Grande POA",
D41="Camila Arruda","Sul",
D41="Jairo Costa","Sul",
D41="Moacir Lopes","Grande POA",
D41="Nei Xavier","Grande POA",
D41="Raquel Ricardo","Vale dos Sinos",
D41="Tatiana Lacerda","Serra",
D41="Timoteo Hellwing","Sul",
D41="Volnei Klug","Sul",
D41="Wagner da Silva","Vale dos Sinos",
D41="Marcelo de Souza","Sul",
D41="Fernando Moura","Serra",
D41="Paulo Renato","Litoral",
D41="Vinicios da Luz","Litoral",
D41="Bruno Santos","Litoral",
D41="Mauricio Keenan","Sul",
D41="Cristielen","Litoral",
D41="Juliano Lause","Grande POA",
D41="Thiago Fraga","Vale dos Sinos",
D41="Natalia","Vale dos Sinos",
D41="Guilherme Juhliano","Grande POA",
D41="Timoteo","Sul",
D41="Carlos Alberto","Sul",
D41="Anaina Schmidt","Sul",
D41="Rose - Nelvaira","Sul",
D41="Henrik Von Muhlen","Serra",
TRUE,""
)</f>
        <v>Sul</v>
      </c>
      <c r="G41" t="str">
        <v>Franciele</v>
      </c>
      <c r="H41" t="str">
        <v>Açai</v>
      </c>
      <c r="I41">
        <v>46198</v>
      </c>
      <c r="J41" t="str">
        <v>Sim</v>
      </c>
      <c r="K41">
        <v>1258</v>
      </c>
    </row>
    <row r="42" xml:space="preserve">
      <c r="A42">
        <v>44393</v>
      </c>
      <c r="B42" t="str">
        <v>Teve Interesse</v>
      </c>
      <c r="C42" xml:space="preserve">
        <f xml:space="preserve">IF(D42="Cristielen",1211,
IF(D42="Jenifer",1575,
IF(D42="Tatiana Lacerda",9886,
IF(D42="Andreia Lopes",1504,
IF(D42="Arlecio Lindemann",1328,
IF(D42="Dionis Jose",1525,
IF(D42="Douglas Montagna",1581,
IF(D42="Elisiane Lambrechtt",1234,
IF(D42="Gislaine Muller",9937,
IF(D42="Henrique Godinho",1518,
IF(D42="Rose - Nelvara",9863,
IF(D42="Viviane Botelho",9872,
IF(D42="Ariane Quebao",1596,
IF(D42="Ariane",1596,
IF(D42="Camila Arruda",1464,
IF(D42="Camila",1464,
IF(D42="Jairo Costa",9911,
IF(D42="Moacir Lopes",1278,
IF(D42="Nei Xavier",1150,
IF(D42="Raquel Ricardo",1217,
IF(D42="Timoteo Hellwing",9839,
IF(D42="Volnei Klug",1335,
IF(D42="Natalia",1429,
IF(D42="Wagner da Silva",1623,
IF(D42="Marcelo de Souza",9808,
IF(D42="Fernando Moura",1450,
IF(D42="Paulo Renato",6127,
IF(D42="Vinicios da Luz",9905,
IF(D42="Bruno Santos",1273,
IF(D42="Mauricio Keenan",1500,
IF(D42="Juliano Lause",1544,
IF(D42="Guilherme Juhliano",1522,
IF(D42="Timoteo",9839,
IF(D42="Carlos Alberto",1615,
IF(D42="Anaina Schmidt",1503,
IF(D42="Rose - Nelvaira",9863,
IF(D42="Henrik Von Muhlen",1280,
IF(D42="Luiz Olavo",1607,
IF(D42="Sidimar Luis",1325,
IF(D42="Thiago Fraga",1604,""))))))))))))))))))))))))))))))))))))))))</f>
        <v>1211</v>
      </c>
      <c r="D42" t="str">
        <v>Cristielen</v>
      </c>
      <c r="E42" t="str">
        <v>Televendas</v>
      </c>
      <c r="F42" t="str" cm="1" xml:space="preserve">
        <f t="array" ref="F42" xml:space="preserve">IFS(
D42="Andreia Lopes","Serra",
D42="Arlecio Lindemann","Sul",
D42="Dionis Jose","Vale dos Sinos",
D42="Douglas Montagna","Grande POA",
D42="Elisiane Lambrechtt","Grande POA",
D42="Gislaine Muller","Vale dos Sinos",
D42="Henrique Godinho","Grande POA",
D42="Rose - Nelvara","Sul",
D42="Viviane Botelho","Sul",
D42="Ariane Quebao","Grande POA",
D42="Camila Arruda","Sul",
D42="Jairo Costa","Sul",
D42="Moacir Lopes","Grande POA",
D42="Nei Xavier","Grande POA",
D42="Raquel Ricardo","Vale dos Sinos",
D42="Tatiana Lacerda","Serra",
D42="Timoteo Hellwing","Sul",
D42="Volnei Klug","Sul",
D42="Wagner da Silva","Vale dos Sinos",
D42="Marcelo de Souza","Sul",
D42="Fernando Moura","Serra",
D42="Paulo Renato","Litoral",
D42="Vinicios da Luz","Litoral",
D42="Bruno Santos","Litoral",
D42="Mauricio Keenan","Sul",
D42="Cristielen","Litoral",
D42="Juliano Lause","Grande POA",
D42="Thiago Fraga","Vale dos Sinos",
D42="Natalia","Vale dos Sinos",
D42="Guilherme Juhliano","Grande POA",
D42="Timoteo","Sul",
D42="Carlos Alberto","Sul",
D42="Anaina Schmidt","Sul",
D42="Rose - Nelvaira","Sul",
D42="Henrik Von Muhlen","Serra",
TRUE,""
)</f>
        <v>Litoral</v>
      </c>
      <c r="G42" t="str">
        <v>Franciele</v>
      </c>
      <c r="H42" t="str">
        <v>Açai</v>
      </c>
      <c r="I42">
        <v>46198</v>
      </c>
      <c r="J42" t="str">
        <v>Não</v>
      </c>
    </row>
    <row r="43" xml:space="preserve">
      <c r="A43">
        <v>45284</v>
      </c>
      <c r="B43" t="str">
        <v>Teve Interesse</v>
      </c>
      <c r="C43" xml:space="preserve">
        <f xml:space="preserve">IF(D43="Cristielen",1211,
IF(D43="Jenifer",1575,
IF(D43="Tatiana Lacerda",9886,
IF(D43="Andreia Lopes",1504,
IF(D43="Arlecio Lindemann",1328,
IF(D43="Dionis Jose",1525,
IF(D43="Douglas Montagna",1581,
IF(D43="Elisiane Lambrechtt",1234,
IF(D43="Gislaine Muller",9937,
IF(D43="Henrique Godinho",1518,
IF(D43="Rose - Nelvara",9863,
IF(D43="Viviane Botelho",9872,
IF(D43="Ariane Quebao",1596,
IF(D43="Ariane",1596,
IF(D43="Camila Arruda",1464,
IF(D43="Camila",1464,
IF(D43="Jairo Costa",9911,
IF(D43="Moacir Lopes",1278,
IF(D43="Nei Xavier",1150,
IF(D43="Raquel Ricardo",1217,
IF(D43="Timoteo Hellwing",9839,
IF(D43="Volnei Klug",1335,
IF(D43="Natalia",1429,
IF(D43="Wagner da Silva",1623,
IF(D43="Marcelo de Souza",9808,
IF(D43="Fernando Moura",1450,
IF(D43="Paulo Renato",6127,
IF(D43="Vinicios da Luz",9905,
IF(D43="Bruno Santos",1273,
IF(D43="Mauricio Keenan",1500,
IF(D43="Juliano Lause",1544,
IF(D43="Guilherme Juhliano",1522,
IF(D43="Timoteo",9839,
IF(D43="Carlos Alberto",1615,
IF(D43="Anaina Schmidt",1503,
IF(D43="Rose - Nelvaira",9863,
IF(D43="Henrik Von Muhlen",1280,
IF(D43="Luiz Olavo",1607,
IF(D43="Sidimar Luis",1325,
IF(D43="Thiago Fraga",1604,""))))))))))))))))))))))))))))))))))))))))</f>
        <v>1429</v>
      </c>
      <c r="D43" t="str">
        <v>Natalia</v>
      </c>
      <c r="E43" t="str">
        <v>Televendas</v>
      </c>
      <c r="F43" t="str" cm="1" xml:space="preserve">
        <f t="array" ref="F43" xml:space="preserve">IFS(
D43="Andreia Lopes","Serra",
D43="Arlecio Lindemann","Sul",
D43="Dionis Jose","Vale dos Sinos",
D43="Douglas Montagna","Grande POA",
D43="Elisiane Lambrechtt","Grande POA",
D43="Gislaine Muller","Vale dos Sinos",
D43="Henrique Godinho","Grande POA",
D43="Rose - Nelvara","Sul",
D43="Viviane Botelho","Sul",
D43="Ariane Quebao","Grande POA",
D43="Camila Arruda","Sul",
D43="Jairo Costa","Sul",
D43="Moacir Lopes","Grande POA",
D43="Nei Xavier","Grande POA",
D43="Raquel Ricardo","Vale dos Sinos",
D43="Tatiana Lacerda","Serra",
D43="Timoteo Hellwing","Sul",
D43="Volnei Klug","Sul",
D43="Wagner da Silva","Vale dos Sinos",
D43="Marcelo de Souza","Sul",
D43="Fernando Moura","Serra",
D43="Paulo Renato","Litoral",
D43="Vinicios da Luz","Litoral",
D43="Bruno Santos","Litoral",
D43="Mauricio Keenan","Sul",
D43="Cristielen","Litoral",
D43="Juliano Lause","Grande POA",
D43="Thiago Fraga","Vale dos Sinos",
D43="Natalia","Vale dos Sinos",
D43="Guilherme Juhliano","Grande POA",
D43="Timoteo","Sul",
D43="Carlos Alberto","Sul",
D43="Anaina Schmidt","Sul",
D43="Rose - Nelvaira","Sul",
D43="Henrik Von Muhlen","Serra",
TRUE,""
)</f>
        <v>Vale dos Sinos</v>
      </c>
      <c r="G43" t="str">
        <v>Franciele</v>
      </c>
      <c r="H43" t="str">
        <v>Açai</v>
      </c>
      <c r="I43">
        <v>46198</v>
      </c>
      <c r="J43" t="str">
        <v>Não</v>
      </c>
    </row>
    <row r="44" xml:space="preserve">
      <c r="A44">
        <v>45016</v>
      </c>
      <c r="B44" t="str">
        <v>Teve Interesse</v>
      </c>
      <c r="C44" xml:space="preserve">
        <f xml:space="preserve">IF(D44="Cristielen",1211,
IF(D44="Jenifer",1575,
IF(D44="Tatiana Lacerda",9886,
IF(D44="Andreia Lopes",1504,
IF(D44="Arlecio Lindemann",1328,
IF(D44="Dionis Jose",1525,
IF(D44="Douglas Montagna",1581,
IF(D44="Elisiane Lambrechtt",1234,
IF(D44="Gislaine Muller",9937,
IF(D44="Henrique Godinho",1518,
IF(D44="Rose - Nelvara",9863,
IF(D44="Viviane Botelho",9872,
IF(D44="Ariane Quebao",1596,
IF(D44="Ariane",1596,
IF(D44="Camila Arruda",1464,
IF(D44="Camila",1464,
IF(D44="Jairo Costa",9911,
IF(D44="Moacir Lopes",1278,
IF(D44="Nei Xavier",1150,
IF(D44="Raquel Ricardo",1217,
IF(D44="Timoteo Hellwing",9839,
IF(D44="Volnei Klug",1335,
IF(D44="Natalia",1429,
IF(D44="Wagner da Silva",1623,
IF(D44="Marcelo de Souza",9808,
IF(D44="Fernando Moura",1450,
IF(D44="Paulo Renato",6127,
IF(D44="Vinicios da Luz",9905,
IF(D44="Bruno Santos",1273,
IF(D44="Mauricio Keenan",1500,
IF(D44="Juliano Lause",1544,
IF(D44="Guilherme Juhliano",1522,
IF(D44="Timoteo",9839,
IF(D44="Carlos Alberto",1615,
IF(D44="Anaina Schmidt",1503,
IF(D44="Rose - Nelvaira",9863,
IF(D44="Henrik Von Muhlen",1280,
IF(D44="Luiz Olavo",1607,
IF(D44="Sidimar Luis",1325,
IF(D44="Thiago Fraga",1604,""))))))))))))))))))))))))))))))))))))))))</f>
        <v>1596</v>
      </c>
      <c r="D44" t="str">
        <v>Ariane Quebao</v>
      </c>
      <c r="E44" t="str">
        <v>Televendas</v>
      </c>
      <c r="F44" t="str" cm="1" xml:space="preserve">
        <f t="array" ref="F44" xml:space="preserve">IFS(
D44="Andreia Lopes","Serra",
D44="Arlecio Lindemann","Sul",
D44="Dionis Jose","Vale dos Sinos",
D44="Douglas Montagna","Grande POA",
D44="Elisiane Lambrechtt","Grande POA",
D44="Gislaine Muller","Vale dos Sinos",
D44="Henrique Godinho","Grande POA",
D44="Rose - Nelvara","Sul",
D44="Viviane Botelho","Sul",
D44="Ariane Quebao","Grande POA",
D44="Camila Arruda","Sul",
D44="Jairo Costa","Sul",
D44="Moacir Lopes","Grande POA",
D44="Nei Xavier","Grande POA",
D44="Raquel Ricardo","Vale dos Sinos",
D44="Tatiana Lacerda","Serra",
D44="Timoteo Hellwing","Sul",
D44="Volnei Klug","Sul",
D44="Wagner da Silva","Vale dos Sinos",
D44="Marcelo de Souza","Sul",
D44="Fernando Moura","Serra",
D44="Paulo Renato","Litoral",
D44="Vinicios da Luz","Litoral",
D44="Bruno Santos","Litoral",
D44="Mauricio Keenan","Sul",
D44="Cristielen","Litoral",
D44="Juliano Lause","Grande POA",
D44="Thiago Fraga","Vale dos Sinos",
D44="Natalia","Vale dos Sinos",
D44="Guilherme Juhliano","Grande POA",
D44="Timoteo","Sul",
D44="Carlos Alberto","Sul",
D44="Anaina Schmidt","Sul",
D44="Rose - Nelvaira","Sul",
D44="Henrik Von Muhlen","Serra",
TRUE,""
)</f>
        <v>Grande POA</v>
      </c>
      <c r="G44" t="str">
        <v>Franciele</v>
      </c>
      <c r="H44" t="str">
        <v>Açai</v>
      </c>
      <c r="I44">
        <v>46198</v>
      </c>
      <c r="J44" t="str">
        <v>Não</v>
      </c>
    </row>
    <row r="45" xml:space="preserve">
      <c r="A45">
        <v>45126</v>
      </c>
      <c r="B45" t="str">
        <v>Teve Interesse</v>
      </c>
      <c r="C45" xml:space="preserve">
        <f xml:space="preserve">IF(D45="Cristielen",1211,
IF(D45="Jenifer",1575,
IF(D45="Tatiana Lacerda",9886,
IF(D45="Andreia Lopes",1504,
IF(D45="Arlecio Lindemann",1328,
IF(D45="Dionis Jose",1525,
IF(D45="Douglas Montagna",1581,
IF(D45="Elisiane Lambrechtt",1234,
IF(D45="Gislaine Muller",9937,
IF(D45="Henrique Godinho",1518,
IF(D45="Rose - Nelvara",9863,
IF(D45="Viviane Botelho",9872,
IF(D45="Ariane Quebao",1596,
IF(D45="Ariane",1596,
IF(D45="Camila Arruda",1464,
IF(D45="Camila",1464,
IF(D45="Jairo Costa",9911,
IF(D45="Moacir Lopes",1278,
IF(D45="Nei Xavier",1150,
IF(D45="Raquel Ricardo",1217,
IF(D45="Timoteo Hellwing",9839,
IF(D45="Volnei Klug",1335,
IF(D45="Natalia",1429,
IF(D45="Wagner da Silva",1623,
IF(D45="Marcelo de Souza",9808,
IF(D45="Fernando Moura",1450,
IF(D45="Paulo Renato",6127,
IF(D45="Vinicios da Luz",9905,
IF(D45="Bruno Santos",1273,
IF(D45="Mauricio Keenan",1500,
IF(D45="Juliano Lause",1544,
IF(D45="Guilherme Juhliano",1522,
IF(D45="Timoteo",9839,
IF(D45="Carlos Alberto",1615,
IF(D45="Anaina Schmidt",1503,
IF(D45="Rose - Nelvaira",9863,
IF(D45="Henrik Von Muhlen",1280,
IF(D45="Luiz Olavo",1607,
IF(D45="Sidimar Luis",1325,
IF(D45="Thiago Fraga",1604,""))))))))))))))))))))))))))))))))))))))))</f>
        <v>1211</v>
      </c>
      <c r="D45" t="str">
        <v>Cristielen</v>
      </c>
      <c r="E45" t="str">
        <v>Televendas</v>
      </c>
      <c r="F45" t="str" cm="1" xml:space="preserve">
        <f t="array" ref="F45" xml:space="preserve">IFS(
D45="Andreia Lopes","Serra",
D45="Arlecio Lindemann","Sul",
D45="Dionis Jose","Vale dos Sinos",
D45="Douglas Montagna","Grande POA",
D45="Elisiane Lambrechtt","Grande POA",
D45="Gislaine Muller","Vale dos Sinos",
D45="Henrique Godinho","Grande POA",
D45="Rose - Nelvara","Sul",
D45="Viviane Botelho","Sul",
D45="Ariane Quebao","Grande POA",
D45="Camila Arruda","Sul",
D45="Jairo Costa","Sul",
D45="Moacir Lopes","Grande POA",
D45="Nei Xavier","Grande POA",
D45="Raquel Ricardo","Vale dos Sinos",
D45="Tatiana Lacerda","Serra",
D45="Timoteo Hellwing","Sul",
D45="Volnei Klug","Sul",
D45="Wagner da Silva","Vale dos Sinos",
D45="Marcelo de Souza","Sul",
D45="Fernando Moura","Serra",
D45="Paulo Renato","Litoral",
D45="Vinicios da Luz","Litoral",
D45="Bruno Santos","Litoral",
D45="Mauricio Keenan","Sul",
D45="Cristielen","Litoral",
D45="Juliano Lause","Grande POA",
D45="Thiago Fraga","Vale dos Sinos",
D45="Natalia","Vale dos Sinos",
D45="Guilherme Juhliano","Grande POA",
D45="Timoteo","Sul",
D45="Carlos Alberto","Sul",
D45="Anaina Schmidt","Sul",
D45="Rose - Nelvaira","Sul",
D45="Henrik Von Muhlen","Serra",
TRUE,""
)</f>
        <v>Litoral</v>
      </c>
      <c r="G45" t="str">
        <v>Franciele</v>
      </c>
      <c r="H45" t="str">
        <v>Açai</v>
      </c>
      <c r="I45">
        <v>46198</v>
      </c>
      <c r="J45" t="str">
        <v>Não</v>
      </c>
    </row>
    <row r="46" xml:space="preserve">
      <c r="A46">
        <v>41854</v>
      </c>
      <c r="B46" t="str">
        <v>Teve Interesse</v>
      </c>
      <c r="C46" xml:space="preserve">
        <f xml:space="preserve">IF(D46="Cristielen",1211,
IF(D46="Jenifer",1575,
IF(D46="Tatiana Lacerda",9886,
IF(D46="Andreia Lopes",1504,
IF(D46="Arlecio Lindemann",1328,
IF(D46="Dionis Jose",1525,
IF(D46="Douglas Montagna",1581,
IF(D46="Elisiane Lambrechtt",1234,
IF(D46="Gislaine Muller",9937,
IF(D46="Henrique Godinho",1518,
IF(D46="Rose - Nelvara",9863,
IF(D46="Viviane Botelho",9872,
IF(D46="Ariane Quebao",1596,
IF(D46="Ariane",1596,
IF(D46="Camila Arruda",1464,
IF(D46="Camila",1464,
IF(D46="Jairo Costa",9911,
IF(D46="Moacir Lopes",1278,
IF(D46="Nei Xavier",1150,
IF(D46="Raquel Ricardo",1217,
IF(D46="Timoteo Hellwing",9839,
IF(D46="Volnei Klug",1335,
IF(D46="Natalia",1429,
IF(D46="Wagner da Silva",1623,
IF(D46="Marcelo de Souza",9808,
IF(D46="Fernando Moura",1450,
IF(D46="Paulo Renato",6127,
IF(D46="Vinicios da Luz",9905,
IF(D46="Bruno Santos",1273,
IF(D46="Mauricio Keenan",1500,
IF(D46="Juliano Lause",1544,
IF(D46="Guilherme Juhliano",1522,
IF(D46="Timoteo",9839,
IF(D46="Carlos Alberto",1615,
IF(D46="Anaina Schmidt",1503,
IF(D46="Rose - Nelvaira",9863,
IF(D46="Henrik Von Muhlen",1280,
IF(D46="Luiz Olavo",1607,
IF(D46="Sidimar Luis",1325,
IF(D46="Thiago Fraga",1604,""))))))))))))))))))))))))))))))))))))))))</f>
        <v>1464</v>
      </c>
      <c r="D46" t="str">
        <v>Camila Arruda</v>
      </c>
      <c r="E46" t="str">
        <v>Televendas</v>
      </c>
      <c r="F46" t="str" cm="1" xml:space="preserve">
        <f t="array" ref="F46" xml:space="preserve">IFS(
D46="Andreia Lopes","Serra",
D46="Arlecio Lindemann","Sul",
D46="Dionis Jose","Vale dos Sinos",
D46="Douglas Montagna","Grande POA",
D46="Elisiane Lambrechtt","Grande POA",
D46="Gislaine Muller","Vale dos Sinos",
D46="Henrique Godinho","Grande POA",
D46="Rose - Nelvara","Sul",
D46="Viviane Botelho","Sul",
D46="Ariane Quebao","Grande POA",
D46="Camila Arruda","Sul",
D46="Jairo Costa","Sul",
D46="Moacir Lopes","Grande POA",
D46="Nei Xavier","Grande POA",
D46="Raquel Ricardo","Vale dos Sinos",
D46="Tatiana Lacerda","Serra",
D46="Timoteo Hellwing","Sul",
D46="Volnei Klug","Sul",
D46="Wagner da Silva","Vale dos Sinos",
D46="Marcelo de Souza","Sul",
D46="Fernando Moura","Serra",
D46="Paulo Renato","Litoral",
D46="Vinicios da Luz","Litoral",
D46="Bruno Santos","Litoral",
D46="Mauricio Keenan","Sul",
D46="Cristielen","Litoral",
D46="Juliano Lause","Grande POA",
D46="Thiago Fraga","Vale dos Sinos",
D46="Natalia","Vale dos Sinos",
D46="Guilherme Juhliano","Grande POA",
D46="Timoteo","Sul",
D46="Carlos Alberto","Sul",
D46="Anaina Schmidt","Sul",
D46="Rose - Nelvaira","Sul",
D46="Henrik Von Muhlen","Serra",
TRUE,""
)</f>
        <v>Sul</v>
      </c>
      <c r="G46" t="str">
        <v>Franciele</v>
      </c>
      <c r="H46" t="str">
        <v>Açai</v>
      </c>
      <c r="I46">
        <v>46198</v>
      </c>
      <c r="J46" t="str">
        <v>Não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46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R39"/>
  <sheetViews>
    <sheetView workbookViewId="0" rightToLeft="0"/>
  </sheetViews>
  <sheetData>
    <row r="1">
      <c r="A1" t="str">
        <v>CAMPANHA DIA DO AÇAÍ | 45-120 DIAS | TELEVENDAS</v>
      </c>
    </row>
    <row r="4">
      <c r="A4" t="str">
        <v>TEXTO DE DISPARO</v>
      </c>
    </row>
    <row r="5">
      <c r="A5" t="str">
        <v>🚨 HOJE É O DIA DO AÇAÍ NA MAR! Condições especiais, preços exclusivos e estoque limitado para você abastecer seu negócio. ⏰ As ofertas são válidas somente hoje. 📲 Responda *QUERO A OFERTA* e fale com nossa equipe.</v>
      </c>
    </row>
    <row r="8">
      <c r="A8" t="str">
        <v>PÚBLICO DE DISPARO</v>
      </c>
    </row>
    <row r="9" xml:space="preserve">
      <c r="A9" t="str" xml:space="preserve">
        <v xml:space="preserve">Todos_x000d_
20 à 44 dias sem compra.</v>
      </c>
    </row>
    <row r="12">
      <c r="A12" t="str">
        <v>RESUMO DE DISPARO</v>
      </c>
    </row>
    <row r="13" xml:space="preserve">
      <c r="A13" t="str" xml:space="preserve">
        <v xml:space="preserve">738 contatos totais_x000d_
430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44840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tr">
        <v>Wagner da Silva</v>
      </c>
      <c r="E18" t="str">
        <v>Externo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t="str">
        <v>Leonardo</v>
      </c>
      <c r="H18" t="str">
        <v>20 à 44</v>
      </c>
      <c r="I18">
        <v>46199</v>
      </c>
      <c r="J18" t="str">
        <v>Não</v>
      </c>
    </row>
    <row r="19" xml:space="preserve">
      <c r="A19">
        <v>28212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9808</v>
      </c>
      <c r="D19" t="str">
        <v>Marcelo de Souza</v>
      </c>
      <c r="E19" t="str">
        <v>Externo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Sul</v>
      </c>
      <c r="G19" t="str">
        <v>Moizes</v>
      </c>
      <c r="H19" t="str">
        <v>20 à 44</v>
      </c>
      <c r="I19">
        <v>46199</v>
      </c>
      <c r="J19" t="str">
        <v>Não</v>
      </c>
    </row>
    <row r="20" xml:space="preserve">
      <c r="A20">
        <v>36209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1234</v>
      </c>
      <c r="D20" t="str">
        <v>Elisiane Lambrechtt</v>
      </c>
      <c r="E20" t="str">
        <v>Externo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Grande POA</v>
      </c>
      <c r="G20" t="str">
        <v>Juliano</v>
      </c>
      <c r="H20" t="str">
        <v>20 à 44</v>
      </c>
      <c r="I20">
        <v>46199</v>
      </c>
      <c r="J20" t="str">
        <v>Não</v>
      </c>
    </row>
    <row r="21" xml:space="preserve">
      <c r="A21">
        <v>38462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9863</v>
      </c>
      <c r="D21" t="str">
        <v>Rose - Nelvara</v>
      </c>
      <c r="E21" t="str">
        <v>Externo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Sul</v>
      </c>
      <c r="G21" t="str">
        <v>Moizes</v>
      </c>
      <c r="H21" t="str">
        <v>20 à 44</v>
      </c>
      <c r="I21">
        <v>46199</v>
      </c>
      <c r="J21" t="str">
        <v>Sim</v>
      </c>
      <c r="K21">
        <v>225.95</v>
      </c>
    </row>
    <row r="22" xml:space="preserve">
      <c r="A22">
        <v>727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1623</v>
      </c>
      <c r="D22" t="str">
        <v>Wagner da Silva</v>
      </c>
      <c r="E22" t="str">
        <v>Externo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Vale dos Sinos</v>
      </c>
      <c r="G22" t="str">
        <v>Leonardo</v>
      </c>
      <c r="H22" t="str">
        <v>20 à 44</v>
      </c>
      <c r="I22">
        <v>46199</v>
      </c>
      <c r="J22" t="str">
        <v>Sim</v>
      </c>
      <c r="K22">
        <v>491.6</v>
      </c>
    </row>
    <row r="23" xml:space="preserve">
      <c r="A23">
        <v>37952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1278</v>
      </c>
      <c r="D23" t="str">
        <v>Moacir Lopes</v>
      </c>
      <c r="E23" t="str">
        <v>Externo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Grande POA</v>
      </c>
      <c r="G23" t="str">
        <v>Juliano</v>
      </c>
      <c r="H23" t="str">
        <v>20 à 44</v>
      </c>
      <c r="I23">
        <v>46199</v>
      </c>
      <c r="J23" t="str">
        <v>Não</v>
      </c>
    </row>
    <row r="24" xml:space="preserve">
      <c r="A24">
        <v>39756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1596</v>
      </c>
      <c r="D24" t="str">
        <v>Ariane Quebao</v>
      </c>
      <c r="E24" t="str">
        <v>Televendas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Grande POA</v>
      </c>
      <c r="G24" t="str">
        <v>Franciele</v>
      </c>
      <c r="H24" t="str">
        <v>20 à 44</v>
      </c>
      <c r="I24">
        <v>46199</v>
      </c>
      <c r="J24" t="str">
        <v>Não</v>
      </c>
    </row>
    <row r="25" xml:space="preserve">
      <c r="A25">
        <v>37478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1450</v>
      </c>
      <c r="D25" t="str">
        <v>Fernando Moura</v>
      </c>
      <c r="E25" t="str">
        <v>Externo</v>
      </c>
      <c r="F25" t="str" cm="1" xml:space="preserve">
        <f t="array" ref="F25" xml:space="preserve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Serra</v>
      </c>
      <c r="G25" t="str">
        <v>Jackson</v>
      </c>
      <c r="H25" t="str">
        <v>20 à 44</v>
      </c>
      <c r="I25">
        <v>46199</v>
      </c>
      <c r="J25" t="str">
        <v>Sim</v>
      </c>
      <c r="K25">
        <v>329.55</v>
      </c>
    </row>
    <row r="26" xml:space="preserve">
      <c r="A26">
        <v>44712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6127</v>
      </c>
      <c r="D26" t="str">
        <v>Paulo Renato</v>
      </c>
      <c r="E26" t="str">
        <v>Externo</v>
      </c>
      <c r="F26" t="str" cm="1" xml:space="preserve">
        <f t="array" ref="F26" xml:space="preserve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Litoral</v>
      </c>
      <c r="G26" t="str">
        <v>Muriel</v>
      </c>
      <c r="H26" t="str">
        <v>20 à 44</v>
      </c>
      <c r="I26">
        <v>46199</v>
      </c>
      <c r="J26" t="str">
        <v>Não</v>
      </c>
    </row>
    <row r="27" xml:space="preserve">
      <c r="A27">
        <v>42829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9905</v>
      </c>
      <c r="D27" t="str">
        <v>Vinicios da Luz</v>
      </c>
      <c r="E27" t="str">
        <v>Externo</v>
      </c>
      <c r="F27" t="str" cm="1" xml:space="preserve">
        <f t="array" ref="F27" xml:space="preserve">IFS(
D27="Andreia Lopes","Serra",
D27="Arlecio Lindemann","Sul",
D27="Dionis Jose","Vale dos Sinos",
D27="Douglas Montagna","Grande POA",
D27="Elisiane Lambrechtt","Grande POA",
D27="Gislaine Muller","Vale dos Sinos",
D27="Henrique Godinho","Grande POA",
D27="Rose - Nelvara","Sul",
D27="Viviane Botelho","Sul",
D27="Ariane Quebao","Grande POA",
D27="Camila Arruda","Sul",
D27="Jairo Costa","Sul",
D27="Moacir Lopes","Grande POA",
D27="Nei Xavier","Grande POA",
D27="Raquel Ricardo","Vale dos Sinos",
D27="Tatiana Lacerda","Serra",
D27="Timoteo Hellwing","Sul",
D27="Volnei Klug","Sul",
D27="Wagner da Silva","Vale dos Sinos",
D27="Marcelo de Souza","Sul",
D27="Fernando Moura","Serra",
D27="Paulo Renato","Litoral",
D27="Vinicios da Luz","Litoral",
D27="Bruno Santos","Litoral",
D27="Mauricio Keenan","Sul",
D27="Cristielen","Litoral",
D27="Juliano Lause","Grande POA",
D27="Thiago Fraga","Vale dos Sinos",
D27="Natalia","Vale dos Sinos",
D27="Guilherme Juhliano","Grande POA",
D27="Timoteo","Sul",
D27="Carlos Alberto","Sul",
D27="Anaina Schmidt","Sul",
D27="Rose - Nelvaira","Sul",
D27="Henrik Von Muhlen","Serra",
TRUE,""
)</f>
        <v>Litoral</v>
      </c>
      <c r="G27" t="str">
        <v>Muriel</v>
      </c>
      <c r="H27" t="str">
        <v>20 à 44</v>
      </c>
      <c r="I27">
        <v>46199</v>
      </c>
      <c r="J27" t="str">
        <v>Não</v>
      </c>
    </row>
    <row r="28" xml:space="preserve">
      <c r="A28">
        <v>43834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1273</v>
      </c>
      <c r="D28" t="str">
        <v>Bruno Santos</v>
      </c>
      <c r="E28" t="str">
        <v>Externo</v>
      </c>
      <c r="F28" t="str" cm="1" xml:space="preserve">
        <f t="array" ref="F28" xml:space="preserve">IFS(
D28="Andreia Lopes","Serra",
D28="Arlecio Lindemann","Sul",
D28="Dionis Jose","Vale dos Sinos",
D28="Douglas Montagna","Grande POA",
D28="Elisiane Lambrechtt","Grande POA",
D28="Gislaine Muller","Vale dos Sinos",
D28="Henrique Godinho","Grande POA",
D28="Rose - Nelvara","Sul",
D28="Viviane Botelho","Sul",
D28="Ariane Quebao","Grande POA",
D28="Camila Arruda","Sul",
D28="Jairo Costa","Sul",
D28="Moacir Lopes","Grande POA",
D28="Nei Xavier","Grande POA",
D28="Raquel Ricardo","Vale dos Sinos",
D28="Tatiana Lacerda","Serra",
D28="Timoteo Hellwing","Sul",
D28="Volnei Klug","Sul",
D28="Wagner da Silva","Vale dos Sinos",
D28="Marcelo de Souza","Sul",
D28="Fernando Moura","Serra",
D28="Paulo Renato","Litoral",
D28="Vinicios da Luz","Litoral",
D28="Bruno Santos","Litoral",
D28="Mauricio Keenan","Sul",
D28="Cristielen","Litoral",
D28="Juliano Lause","Grande POA",
D28="Thiago Fraga","Vale dos Sinos",
D28="Natalia","Vale dos Sinos",
D28="Guilherme Juhliano","Grande POA",
D28="Timoteo","Sul",
D28="Carlos Alberto","Sul",
D28="Anaina Schmidt","Sul",
D28="Rose - Nelvaira","Sul",
D28="Henrik Von Muhlen","Serra",
TRUE,""
)</f>
        <v>Litoral</v>
      </c>
      <c r="G28" t="str">
        <v>Muriel</v>
      </c>
      <c r="H28" t="str">
        <v>20 à 44</v>
      </c>
      <c r="I28">
        <v>46199</v>
      </c>
      <c r="J28" t="str">
        <v>Não</v>
      </c>
    </row>
    <row r="29" xml:space="preserve">
      <c r="A29">
        <v>41569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1500</v>
      </c>
      <c r="D29" t="str">
        <v>Mauricio Keenan</v>
      </c>
      <c r="E29" t="str">
        <v>Externo</v>
      </c>
      <c r="F29" t="str" cm="1" xml:space="preserve">
        <f t="array" ref="F29" xml:space="preserve">IFS(
D29="Andreia Lopes","Serra",
D29="Arlecio Lindemann","Sul",
D29="Dionis Jose","Vale dos Sinos",
D29="Douglas Montagna","Grande POA",
D29="Elisiane Lambrechtt","Grande POA",
D29="Gislaine Muller","Vale dos Sinos",
D29="Henrique Godinho","Grande POA",
D29="Rose - Nelvara","Sul",
D29="Viviane Botelho","Sul",
D29="Ariane Quebao","Grande POA",
D29="Camila Arruda","Sul",
D29="Jairo Costa","Sul",
D29="Moacir Lopes","Grande POA",
D29="Nei Xavier","Grande POA",
D29="Raquel Ricardo","Vale dos Sinos",
D29="Tatiana Lacerda","Serra",
D29="Timoteo Hellwing","Sul",
D29="Volnei Klug","Sul",
D29="Wagner da Silva","Vale dos Sinos",
D29="Marcelo de Souza","Sul",
D29="Fernando Moura","Serra",
D29="Paulo Renato","Litoral",
D29="Vinicios da Luz","Litoral",
D29="Bruno Santos","Litoral",
D29="Mauricio Keenan","Sul",
D29="Cristielen","Litoral",
D29="Juliano Lause","Grande POA",
D29="Thiago Fraga","Vale dos Sinos",
D29="Natalia","Vale dos Sinos",
D29="Guilherme Juhliano","Grande POA",
D29="Timoteo","Sul",
D29="Carlos Alberto","Sul",
D29="Anaina Schmidt","Sul",
D29="Rose - Nelvaira","Sul",
D29="Henrik Von Muhlen","Serra",
TRUE,""
)</f>
        <v>Sul</v>
      </c>
      <c r="G29" t="str">
        <v>Moizes</v>
      </c>
      <c r="H29" t="str">
        <v>20 à 44</v>
      </c>
      <c r="I29">
        <v>46199</v>
      </c>
      <c r="J29" t="str">
        <v>Não</v>
      </c>
    </row>
    <row r="30" xml:space="preserve">
      <c r="A30">
        <v>43790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9886</v>
      </c>
      <c r="D30" t="str">
        <v>Tatiana Lacerda</v>
      </c>
      <c r="E30" t="str">
        <v>Televendas</v>
      </c>
      <c r="F30" t="str" cm="1" xml:space="preserve">
        <f t="array" ref="F30" xml:space="preserve">IFS(
D30="Andreia Lopes","Serra",
D30="Arlecio Lindemann","Sul",
D30="Dionis Jose","Vale dos Sinos",
D30="Douglas Montagna","Grande POA",
D30="Elisiane Lambrechtt","Grande POA",
D30="Gislaine Muller","Vale dos Sinos",
D30="Henrique Godinho","Grande POA",
D30="Rose - Nelvara","Sul",
D30="Viviane Botelho","Sul",
D30="Ariane Quebao","Grande POA",
D30="Camila Arruda","Sul",
D30="Jairo Costa","Sul",
D30="Moacir Lopes","Grande POA",
D30="Nei Xavier","Grande POA",
D30="Raquel Ricardo","Vale dos Sinos",
D30="Tatiana Lacerda","Serra",
D30="Timoteo Hellwing","Sul",
D30="Volnei Klug","Sul",
D30="Wagner da Silva","Vale dos Sinos",
D30="Marcelo de Souza","Sul",
D30="Fernando Moura","Serra",
D30="Paulo Renato","Litoral",
D30="Vinicios da Luz","Litoral",
D30="Bruno Santos","Litoral",
D30="Mauricio Keenan","Sul",
D30="Cristielen","Litoral",
D30="Juliano Lause","Grande POA",
D30="Thiago Fraga","Vale dos Sinos",
D30="Natalia","Vale dos Sinos",
D30="Guilherme Juhliano","Grande POA",
D30="Timoteo","Sul",
D30="Carlos Alberto","Sul",
D30="Anaina Schmidt","Sul",
D30="Rose - Nelvaira","Sul",
D30="Henrik Von Muhlen","Serra",
TRUE,""
)</f>
        <v>Serra</v>
      </c>
      <c r="G30" t="str">
        <v>Franciele</v>
      </c>
      <c r="H30" t="str">
        <v>20 à 44</v>
      </c>
      <c r="I30">
        <v>46199</v>
      </c>
      <c r="J30" t="str">
        <v>Não</v>
      </c>
    </row>
    <row r="31" xml:space="preserve">
      <c r="A31">
        <v>39712</v>
      </c>
      <c r="B31" t="str">
        <v>Teve Interesse</v>
      </c>
      <c r="C31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9872</v>
      </c>
      <c r="D31" t="str">
        <v>Viviane Botelho</v>
      </c>
      <c r="E31" t="str">
        <v>Externo</v>
      </c>
      <c r="F31" t="str" cm="1" xml:space="preserve">
        <f t="array" ref="F31" xml:space="preserve">IFS(
D31="Andreia Lopes","Serra",
D31="Arlecio Lindemann","Sul",
D31="Dionis Jose","Vale dos Sinos",
D31="Douglas Montagna","Grande POA",
D31="Elisiane Lambrechtt","Grande POA",
D31="Gislaine Muller","Vale dos Sinos",
D31="Henrique Godinho","Grande POA",
D31="Rose - Nelvara","Sul",
D31="Viviane Botelho","Sul",
D31="Ariane Quebao","Grande POA",
D31="Camila Arruda","Sul",
D31="Jairo Costa","Sul",
D31="Moacir Lopes","Grande POA",
D31="Nei Xavier","Grande POA",
D31="Raquel Ricardo","Vale dos Sinos",
D31="Tatiana Lacerda","Serra",
D31="Timoteo Hellwing","Sul",
D31="Volnei Klug","Sul",
D31="Wagner da Silva","Vale dos Sinos",
D31="Marcelo de Souza","Sul",
D31="Fernando Moura","Serra",
D31="Paulo Renato","Litoral",
D31="Vinicios da Luz","Litoral",
D31="Bruno Santos","Litoral",
D31="Mauricio Keenan","Sul",
D31="Cristielen","Litoral",
D31="Juliano Lause","Grande POA",
D31="Thiago Fraga","Vale dos Sinos",
D31="Natalia","Vale dos Sinos",
D31="Guilherme Juhliano","Grande POA",
D31="Timoteo","Sul",
D31="Carlos Alberto","Sul",
D31="Anaina Schmidt","Sul",
D31="Rose - Nelvaira","Sul",
D31="Henrik Von Muhlen","Serra",
TRUE,""
)</f>
        <v>Sul</v>
      </c>
      <c r="G31" t="str">
        <v>Moizes</v>
      </c>
      <c r="H31" t="str">
        <v>20 à 44</v>
      </c>
      <c r="I31">
        <v>46199</v>
      </c>
      <c r="J31" t="str">
        <v>Sim</v>
      </c>
      <c r="K31">
        <v>265.36</v>
      </c>
    </row>
    <row r="32" xml:space="preserve">
      <c r="A32">
        <v>25562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1211</v>
      </c>
      <c r="D32" t="str">
        <v>Cristielen</v>
      </c>
      <c r="E32" t="str">
        <v>Televendas</v>
      </c>
      <c r="F32" t="str" cm="1" xml:space="preserve">
        <f t="array" ref="F32" xml:space="preserve">IFS(
D32="Andreia Lopes","Serra",
D32="Arlecio Lindemann","Sul",
D32="Dionis Jose","Vale dos Sinos",
D32="Douglas Montagna","Grande POA",
D32="Elisiane Lambrechtt","Grande POA",
D32="Gislaine Muller","Vale dos Sinos",
D32="Henrique Godinho","Grande POA",
D32="Rose - Nelvara","Sul",
D32="Viviane Botelho","Sul",
D32="Ariane Quebao","Grande POA",
D32="Camila Arruda","Sul",
D32="Jairo Costa","Sul",
D32="Moacir Lopes","Grande POA",
D32="Nei Xavier","Grande POA",
D32="Raquel Ricardo","Vale dos Sinos",
D32="Tatiana Lacerda","Serra",
D32="Timoteo Hellwing","Sul",
D32="Volnei Klug","Sul",
D32="Wagner da Silva","Vale dos Sinos",
D32="Marcelo de Souza","Sul",
D32="Fernando Moura","Serra",
D32="Paulo Renato","Litoral",
D32="Vinicios da Luz","Litoral",
D32="Bruno Santos","Litoral",
D32="Mauricio Keenan","Sul",
D32="Cristielen","Litoral",
D32="Juliano Lause","Grande POA",
D32="Thiago Fraga","Vale dos Sinos",
D32="Natalia","Vale dos Sinos",
D32="Guilherme Juhliano","Grande POA",
D32="Timoteo","Sul",
D32="Carlos Alberto","Sul",
D32="Anaina Schmidt","Sul",
D32="Rose - Nelvaira","Sul",
D32="Henrik Von Muhlen","Serra",
TRUE,""
)</f>
        <v>Litoral</v>
      </c>
      <c r="G32" t="str">
        <v>Franciele</v>
      </c>
      <c r="H32" t="str">
        <v>20 à 44</v>
      </c>
      <c r="I32">
        <v>46199</v>
      </c>
      <c r="J32" t="str">
        <v>Sim</v>
      </c>
      <c r="K32">
        <v>516.51</v>
      </c>
    </row>
    <row r="33" xml:space="preserve">
      <c r="A33">
        <v>43850</v>
      </c>
      <c r="B33" t="str">
        <v>Teve Interesse</v>
      </c>
      <c r="C33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1211</v>
      </c>
      <c r="D33" t="str">
        <v>Cristielen</v>
      </c>
      <c r="E33" t="str">
        <v>Televendas</v>
      </c>
      <c r="F33" t="str" cm="1" xml:space="preserve">
        <f t="array" ref="F33" xml:space="preserve">IFS(
D33="Andreia Lopes","Serra",
D33="Arlecio Lindemann","Sul",
D33="Dionis Jose","Vale dos Sinos",
D33="Douglas Montagna","Grande POA",
D33="Elisiane Lambrechtt","Grande POA",
D33="Gislaine Muller","Vale dos Sinos",
D33="Henrique Godinho","Grande POA",
D33="Rose - Nelvara","Sul",
D33="Viviane Botelho","Sul",
D33="Ariane Quebao","Grande POA",
D33="Camila Arruda","Sul",
D33="Jairo Costa","Sul",
D33="Moacir Lopes","Grande POA",
D33="Nei Xavier","Grande POA",
D33="Raquel Ricardo","Vale dos Sinos",
D33="Tatiana Lacerda","Serra",
D33="Timoteo Hellwing","Sul",
D33="Volnei Klug","Sul",
D33="Wagner da Silva","Vale dos Sinos",
D33="Marcelo de Souza","Sul",
D33="Fernando Moura","Serra",
D33="Paulo Renato","Litoral",
D33="Vinicios da Luz","Litoral",
D33="Bruno Santos","Litoral",
D33="Mauricio Keenan","Sul",
D33="Cristielen","Litoral",
D33="Juliano Lause","Grande POA",
D33="Thiago Fraga","Vale dos Sinos",
D33="Natalia","Vale dos Sinos",
D33="Guilherme Juhliano","Grande POA",
D33="Timoteo","Sul",
D33="Carlos Alberto","Sul",
D33="Anaina Schmidt","Sul",
D33="Rose - Nelvaira","Sul",
D33="Henrik Von Muhlen","Serra",
TRUE,""
)</f>
        <v>Litoral</v>
      </c>
      <c r="G33" t="str">
        <v>Franciele</v>
      </c>
      <c r="H33" t="str">
        <v>20 à 44</v>
      </c>
      <c r="I33">
        <v>46199</v>
      </c>
      <c r="J33" t="str">
        <v>Não</v>
      </c>
    </row>
    <row r="34" xml:space="preserve">
      <c r="A34">
        <v>45474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1273</v>
      </c>
      <c r="D34" t="str">
        <v>Bruno Santos</v>
      </c>
      <c r="E34" t="str">
        <v>Externo</v>
      </c>
      <c r="F34" t="str" cm="1" xml:space="preserve">
        <f t="array" ref="F34" xml:space="preserve">IFS(
D34="Andreia Lopes","Serra",
D34="Arlecio Lindemann","Sul",
D34="Dionis Jose","Vale dos Sinos",
D34="Douglas Montagna","Grande POA",
D34="Elisiane Lambrechtt","Grande POA",
D34="Gislaine Muller","Vale dos Sinos",
D34="Henrique Godinho","Grande POA",
D34="Rose - Nelvara","Sul",
D34="Viviane Botelho","Sul",
D34="Ariane Quebao","Grande POA",
D34="Camila Arruda","Sul",
D34="Jairo Costa","Sul",
D34="Moacir Lopes","Grande POA",
D34="Nei Xavier","Grande POA",
D34="Raquel Ricardo","Vale dos Sinos",
D34="Tatiana Lacerda","Serra",
D34="Timoteo Hellwing","Sul",
D34="Volnei Klug","Sul",
D34="Wagner da Silva","Vale dos Sinos",
D34="Marcelo de Souza","Sul",
D34="Fernando Moura","Serra",
D34="Paulo Renato","Litoral",
D34="Vinicios da Luz","Litoral",
D34="Bruno Santos","Litoral",
D34="Mauricio Keenan","Sul",
D34="Cristielen","Litoral",
D34="Juliano Lause","Grande POA",
D34="Thiago Fraga","Vale dos Sinos",
D34="Natalia","Vale dos Sinos",
D34="Guilherme Juhliano","Grande POA",
D34="Timoteo","Sul",
D34="Carlos Alberto","Sul",
D34="Anaina Schmidt","Sul",
D34="Rose - Nelvaira","Sul",
D34="Henrik Von Muhlen","Serra",
TRUE,""
)</f>
        <v>Litoral</v>
      </c>
      <c r="G34" t="str">
        <v>Muriel</v>
      </c>
      <c r="H34" t="str">
        <v>20 à 44</v>
      </c>
      <c r="I34">
        <v>46199</v>
      </c>
      <c r="J34" t="str">
        <v>Sim</v>
      </c>
      <c r="K34">
        <v>358.93</v>
      </c>
    </row>
    <row r="35" xml:space="preserve">
      <c r="A35">
        <v>41788</v>
      </c>
      <c r="B35" t="str">
        <v>Teve Interesse</v>
      </c>
      <c r="C35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1211</v>
      </c>
      <c r="D35" t="str">
        <v>Cristielen</v>
      </c>
      <c r="E35" t="str">
        <v>Televendas</v>
      </c>
      <c r="F35" t="str" cm="1" xml:space="preserve">
        <f t="array" ref="F35" xml:space="preserve">IFS(
D35="Andreia Lopes","Serra",
D35="Arlecio Lindemann","Sul",
D35="Dionis Jose","Vale dos Sinos",
D35="Douglas Montagna","Grande POA",
D35="Elisiane Lambrechtt","Grande POA",
D35="Gislaine Muller","Vale dos Sinos",
D35="Henrique Godinho","Grande POA",
D35="Rose - Nelvara","Sul",
D35="Viviane Botelho","Sul",
D35="Ariane Quebao","Grande POA",
D35="Camila Arruda","Sul",
D35="Jairo Costa","Sul",
D35="Moacir Lopes","Grande POA",
D35="Nei Xavier","Grande POA",
D35="Raquel Ricardo","Vale dos Sinos",
D35="Tatiana Lacerda","Serra",
D35="Timoteo Hellwing","Sul",
D35="Volnei Klug","Sul",
D35="Wagner da Silva","Vale dos Sinos",
D35="Marcelo de Souza","Sul",
D35="Fernando Moura","Serra",
D35="Paulo Renato","Litoral",
D35="Vinicios da Luz","Litoral",
D35="Bruno Santos","Litoral",
D35="Mauricio Keenan","Sul",
D35="Cristielen","Litoral",
D35="Juliano Lause","Grande POA",
D35="Thiago Fraga","Vale dos Sinos",
D35="Natalia","Vale dos Sinos",
D35="Guilherme Juhliano","Grande POA",
D35="Timoteo","Sul",
D35="Carlos Alberto","Sul",
D35="Anaina Schmidt","Sul",
D35="Rose - Nelvaira","Sul",
D35="Henrik Von Muhlen","Serra",
TRUE,""
)</f>
        <v>Litoral</v>
      </c>
      <c r="G35" t="str">
        <v>Franciele</v>
      </c>
      <c r="H35" t="str">
        <v>20 à 44</v>
      </c>
      <c r="I35">
        <v>46199</v>
      </c>
      <c r="J35" t="str">
        <v>Não</v>
      </c>
    </row>
    <row r="36" xml:space="preserve">
      <c r="A36">
        <v>25029</v>
      </c>
      <c r="B36" t="str">
        <v>Teve Interesse</v>
      </c>
      <c r="C36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9863</v>
      </c>
      <c r="D36" t="str">
        <v>Rose - Nelvara</v>
      </c>
      <c r="E36" t="str">
        <v>Externo</v>
      </c>
      <c r="F36" t="str" cm="1" xml:space="preserve">
        <f t="array" ref="F36" xml:space="preserve">IFS(
D36="Andreia Lopes","Serra",
D36="Arlecio Lindemann","Sul",
D36="Dionis Jose","Vale dos Sinos",
D36="Douglas Montagna","Grande POA",
D36="Elisiane Lambrechtt","Grande POA",
D36="Gislaine Muller","Vale dos Sinos",
D36="Henrique Godinho","Grande POA",
D36="Rose - Nelvara","Sul",
D36="Viviane Botelho","Sul",
D36="Ariane Quebao","Grande POA",
D36="Camila Arruda","Sul",
D36="Jairo Costa","Sul",
D36="Moacir Lopes","Grande POA",
D36="Nei Xavier","Grande POA",
D36="Raquel Ricardo","Vale dos Sinos",
D36="Tatiana Lacerda","Serra",
D36="Timoteo Hellwing","Sul",
D36="Volnei Klug","Sul",
D36="Wagner da Silva","Vale dos Sinos",
D36="Marcelo de Souza","Sul",
D36="Fernando Moura","Serra",
D36="Paulo Renato","Litoral",
D36="Vinicios da Luz","Litoral",
D36="Bruno Santos","Litoral",
D36="Mauricio Keenan","Sul",
D36="Cristielen","Litoral",
D36="Juliano Lause","Grande POA",
D36="Thiago Fraga","Vale dos Sinos",
D36="Natalia","Vale dos Sinos",
D36="Guilherme Juhliano","Grande POA",
D36="Timoteo","Sul",
D36="Carlos Alberto","Sul",
D36="Anaina Schmidt","Sul",
D36="Rose - Nelvaira","Sul",
D36="Henrik Von Muhlen","Serra",
TRUE,""
)</f>
        <v>Sul</v>
      </c>
      <c r="G36" t="str">
        <v>Moizes</v>
      </c>
      <c r="H36" t="str">
        <v>20 à 44</v>
      </c>
      <c r="I36">
        <v>46199</v>
      </c>
      <c r="J36" t="str">
        <v>Sim</v>
      </c>
      <c r="K36">
        <v>407.43</v>
      </c>
    </row>
    <row r="37" xml:space="preserve">
      <c r="A37">
        <v>44812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1623</v>
      </c>
      <c r="D37" t="str">
        <v>Wagner da Silva</v>
      </c>
      <c r="E37" t="str">
        <v>Externo</v>
      </c>
      <c r="F37" t="str" cm="1" xml:space="preserve">
        <f t="array" ref="F37" xml:space="preserve">IFS(
D37="Andreia Lopes","Serra",
D37="Arlecio Lindemann","Sul",
D37="Dionis Jose","Vale dos Sinos",
D37="Douglas Montagna","Grande POA",
D37="Elisiane Lambrechtt","Grande POA",
D37="Gislaine Muller","Vale dos Sinos",
D37="Henrique Godinho","Grande POA",
D37="Rose - Nelvara","Sul",
D37="Viviane Botelho","Sul",
D37="Ariane Quebao","Grande POA",
D37="Camila Arruda","Sul",
D37="Jairo Costa","Sul",
D37="Moacir Lopes","Grande POA",
D37="Nei Xavier","Grande POA",
D37="Raquel Ricardo","Vale dos Sinos",
D37="Tatiana Lacerda","Serra",
D37="Timoteo Hellwing","Sul",
D37="Volnei Klug","Sul",
D37="Wagner da Silva","Vale dos Sinos",
D37="Marcelo de Souza","Sul",
D37="Fernando Moura","Serra",
D37="Paulo Renato","Litoral",
D37="Vinicios da Luz","Litoral",
D37="Bruno Santos","Litoral",
D37="Mauricio Keenan","Sul",
D37="Cristielen","Litoral",
D37="Juliano Lause","Grande POA",
D37="Thiago Fraga","Vale dos Sinos",
D37="Natalia","Vale dos Sinos",
D37="Guilherme Juhliano","Grande POA",
D37="Timoteo","Sul",
D37="Carlos Alberto","Sul",
D37="Anaina Schmidt","Sul",
D37="Rose - Nelvaira","Sul",
D37="Henrik Von Muhlen","Serra",
TRUE,""
)</f>
        <v>Vale dos Sinos</v>
      </c>
      <c r="G37" t="str">
        <v>Leonardo</v>
      </c>
      <c r="H37" t="str">
        <v>20 à 44</v>
      </c>
      <c r="I37">
        <v>46199</v>
      </c>
      <c r="J37" t="str">
        <v>Não</v>
      </c>
    </row>
    <row r="38" xml:space="preserve">
      <c r="A38">
        <v>44986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1544</v>
      </c>
      <c r="D38" t="str">
        <v>Juliano Lause</v>
      </c>
      <c r="E38" t="str">
        <v>Externo</v>
      </c>
      <c r="F38" t="str" cm="1" xml:space="preserve">
        <f t="array" ref="F38" xml:space="preserve">IFS(
D38="Andreia Lopes","Serra",
D38="Arlecio Lindemann","Sul",
D38="Dionis Jose","Vale dos Sinos",
D38="Douglas Montagna","Grande POA",
D38="Elisiane Lambrechtt","Grande POA",
D38="Gislaine Muller","Vale dos Sinos",
D38="Henrique Godinho","Grande POA",
D38="Rose - Nelvara","Sul",
D38="Viviane Botelho","Sul",
D38="Ariane Quebao","Grande POA",
D38="Camila Arruda","Sul",
D38="Jairo Costa","Sul",
D38="Moacir Lopes","Grande POA",
D38="Nei Xavier","Grande POA",
D38="Raquel Ricardo","Vale dos Sinos",
D38="Tatiana Lacerda","Serra",
D38="Timoteo Hellwing","Sul",
D38="Volnei Klug","Sul",
D38="Wagner da Silva","Vale dos Sinos",
D38="Marcelo de Souza","Sul",
D38="Fernando Moura","Serra",
D38="Paulo Renato","Litoral",
D38="Vinicios da Luz","Litoral",
D38="Bruno Santos","Litoral",
D38="Mauricio Keenan","Sul",
D38="Cristielen","Litoral",
D38="Juliano Lause","Grande POA",
D38="Thiago Fraga","Vale dos Sinos",
D38="Natalia","Vale dos Sinos",
D38="Guilherme Juhliano","Grande POA",
D38="Timoteo","Sul",
D38="Carlos Alberto","Sul",
D38="Anaina Schmidt","Sul",
D38="Rose - Nelvaira","Sul",
D38="Henrik Von Muhlen","Serra",
TRUE,""
)</f>
        <v>Grande POA</v>
      </c>
      <c r="G38" t="str">
        <v>Juliano</v>
      </c>
      <c r="H38" t="str">
        <v>20 à 44</v>
      </c>
      <c r="I38">
        <v>46199</v>
      </c>
      <c r="J38" t="str">
        <v>Não</v>
      </c>
    </row>
    <row r="39" xml:space="preserve">
      <c r="A39">
        <v>34654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9911</v>
      </c>
      <c r="D39" t="str">
        <v>Jairo Costa</v>
      </c>
      <c r="E39" t="str">
        <v>Externo</v>
      </c>
      <c r="F39" t="str" cm="1" xml:space="preserve">
        <f t="array" ref="F39" xml:space="preserve">IFS(
D39="Andreia Lopes","Serra",
D39="Arlecio Lindemann","Sul",
D39="Dionis Jose","Vale dos Sinos",
D39="Douglas Montagna","Grande POA",
D39="Elisiane Lambrechtt","Grande POA",
D39="Gislaine Muller","Vale dos Sinos",
D39="Henrique Godinho","Grande POA",
D39="Rose - Nelvara","Sul",
D39="Viviane Botelho","Sul",
D39="Ariane Quebao","Grande POA",
D39="Camila Arruda","Sul",
D39="Jairo Costa","Sul",
D39="Moacir Lopes","Grande POA",
D39="Nei Xavier","Grande POA",
D39="Raquel Ricardo","Vale dos Sinos",
D39="Tatiana Lacerda","Serra",
D39="Timoteo Hellwing","Sul",
D39="Volnei Klug","Sul",
D39="Wagner da Silva","Vale dos Sinos",
D39="Marcelo de Souza","Sul",
D39="Fernando Moura","Serra",
D39="Paulo Renato","Litoral",
D39="Vinicios da Luz","Litoral",
D39="Bruno Santos","Litoral",
D39="Mauricio Keenan","Sul",
D39="Cristielen","Litoral",
D39="Juliano Lause","Grande POA",
D39="Thiago Fraga","Vale dos Sinos",
D39="Natalia","Vale dos Sinos",
D39="Guilherme Juhliano","Grande POA",
D39="Timoteo","Sul",
D39="Carlos Alberto","Sul",
D39="Anaina Schmidt","Sul",
D39="Rose - Nelvaira","Sul",
D39="Henrik Von Muhlen","Serra",
TRUE,""
)</f>
        <v>Sul</v>
      </c>
      <c r="G39" t="str">
        <v>Moizes</v>
      </c>
      <c r="H39" t="str">
        <v>20 à 44</v>
      </c>
      <c r="I39">
        <v>46200</v>
      </c>
      <c r="J39" t="str">
        <v>Não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39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R17"/>
  <sheetViews>
    <sheetView workbookViewId="0" rightToLeft="0"/>
  </sheetViews>
  <sheetData>
    <row r="1">
      <c r="A1" t="str">
        <v>CAMPANHA FECHAMENTO DO MÊS | 45-89 DIAS | TELEVENDAS</v>
      </c>
    </row>
    <row r="4">
      <c r="A4" t="str">
        <v>TEXTO DE DISPARO</v>
      </c>
    </row>
    <row r="5" xml:space="preserve">
      <c r="A5" t="str" xml:space="preserve">
        <v xml:space="preserve">Fechando o mês com muito açaí! 💜 Os últimos dias do mês chegaram e essa é a oportunidade perfeita para garantir o seu estoque com a qualidade. 📲 Fale conosco e aproveite as condições disponíveis antes que o mês acabe! _x000d_
</v>
      </c>
    </row>
    <row r="8">
      <c r="A8" t="str">
        <v>PÚBLICO DE DISPARO</v>
      </c>
    </row>
    <row r="9" xml:space="preserve">
      <c r="A9" t="str" xml:space="preserve">
        <v xml:space="preserve">Todos_x000d_
45 à 90 dias sem compra</v>
      </c>
    </row>
    <row r="12">
      <c r="A12" t="str">
        <v>RESUMO DE DISPARO</v>
      </c>
    </row>
    <row r="13" xml:space="preserve">
      <c r="A13" t="str" xml:space="preserve">
        <v xml:space="preserve">77 contatos totais_x000d_
31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1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R26"/>
  <sheetViews>
    <sheetView workbookViewId="0" rightToLeft="0"/>
  </sheetViews>
  <sheetData>
    <row r="1">
      <c r="A1" t="str">
        <v>CAMPANHA PROSPECÇÃO CNPJ | 45-365 DIAS | TELEVENDAS</v>
      </c>
    </row>
    <row r="4">
      <c r="A4" t="str">
        <v>TEXTO DE DISPARO</v>
      </c>
    </row>
    <row r="5">
      <c r="A5" t="str">
        <v>Olá! Tudo bem? Seu negócio pode contar com um fornecedor completo para abastecer seu estoque com qualidade e praticidade. ✔ Produtos para food service ✔ Preços competitivos ✔ Entrega rápida ✔ Atendimento especializado 💬 Clique em "Solicitar Orçamento" e nossa equipe preparará uma proposta personalizada para sua empresa.</v>
      </c>
    </row>
    <row r="8">
      <c r="A8" t="str">
        <v>PÚBLICO DE DISPARO</v>
      </c>
    </row>
    <row r="9" xml:space="preserve">
      <c r="A9" t="str" xml:space="preserve">
        <v xml:space="preserve">CNPJ_x000d_
45 à 365 dias sem compra</v>
      </c>
    </row>
    <row r="12">
      <c r="A12" t="str">
        <v>RESUMO DE DISPARO</v>
      </c>
    </row>
    <row r="13" xml:space="preserve">
      <c r="A13" t="str" xml:space="preserve">
        <v xml:space="preserve">2441 contatos totais_x000d_
880 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43879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1429</v>
      </c>
      <c r="D18" t="str">
        <v>Natalia</v>
      </c>
      <c r="E18" t="str">
        <v>Televendas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t="str">
        <v>Franciele</v>
      </c>
      <c r="H18" t="str">
        <v>Diversos</v>
      </c>
      <c r="I18">
        <v>46203</v>
      </c>
      <c r="J18" t="str">
        <v>Não</v>
      </c>
    </row>
    <row r="19" xml:space="preserve">
      <c r="A19">
        <v>28472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9886</v>
      </c>
      <c r="D19" t="str">
        <v>Tatiana Lacerda</v>
      </c>
      <c r="E19" t="str">
        <v>Televendas</v>
      </c>
      <c r="F19" t="str" cm="1" xml:space="preserve">
        <f t="array" ref="F19" xml:space="preserve">IFS(
D19="Andreia Lopes","Serra",
D19="Arlecio Lindemann","Sul",
D19="Dionis Jose","Vale dos Sinos",
D19="Douglas Montagna","Grande POA",
D19="Elisiane Lambrechtt","Grande POA",
D19="Gislaine Muller","Vale dos Sinos",
D19="Henrique Godinho","Grande POA",
D19="Rose - Nelvara","Sul",
D19="Viviane Botelho","Sul",
D19="Ariane Quebao","Grande POA",
D19="Camila Arruda","Sul",
D19="Jairo Costa","Sul",
D19="Moacir Lopes","Grande POA",
D19="Nei Xavier","Grande POA",
D19="Raquel Ricardo","Vale dos Sinos",
D19="Tatiana Lacerda","Serra",
D19="Timoteo Hellwing","Sul",
D19="Volnei Klug","Sul",
D19="Wagner da Silva","Vale dos Sinos",
D19="Marcelo de Souza","Sul",
D19="Fernando Moura","Serra",
D19="Paulo Renato","Litoral",
D19="Vinicios da Luz","Litoral",
D19="Bruno Santos","Litoral",
D19="Mauricio Keenan","Sul",
D19="Cristielen","Litoral",
D19="Juliano Lause","Grande POA",
D19="Thiago Fraga","Vale dos Sinos",
D19="Natalia","Vale dos Sinos",
D19="Guilherme Juhliano","Grande POA",
D19="Timoteo","Sul",
D19="Carlos Alberto","Sul",
D19="Anaina Schmidt","Sul",
D19="Rose - Nelvaira","Sul",
D19="Henrik Von Muhlen","Serra",
TRUE,""
)</f>
        <v>Serra</v>
      </c>
      <c r="G19" t="str">
        <v>Franciele</v>
      </c>
      <c r="H19" t="str">
        <v>Diversos</v>
      </c>
      <c r="I19">
        <v>46203</v>
      </c>
      <c r="J19" t="str">
        <v>Não</v>
      </c>
    </row>
    <row r="20" xml:space="preserve">
      <c r="A20">
        <v>44422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9886</v>
      </c>
      <c r="D20" t="str">
        <v>Tatiana Lacerda</v>
      </c>
      <c r="E20" t="str">
        <v>Televendas</v>
      </c>
      <c r="F20" t="str" cm="1" xml:space="preserve">
        <f t="array" ref="F20" xml:space="preserve">IFS(
D20="Andreia Lopes","Serra",
D20="Arlecio Lindemann","Sul",
D20="Dionis Jose","Vale dos Sinos",
D20="Douglas Montagna","Grande POA",
D20="Elisiane Lambrechtt","Grande POA",
D20="Gislaine Muller","Vale dos Sinos",
D20="Henrique Godinho","Grande POA",
D20="Rose - Nelvara","Sul",
D20="Viviane Botelho","Sul",
D20="Ariane Quebao","Grande POA",
D20="Camila Arruda","Sul",
D20="Jairo Costa","Sul",
D20="Moacir Lopes","Grande POA",
D20="Nei Xavier","Grande POA",
D20="Raquel Ricardo","Vale dos Sinos",
D20="Tatiana Lacerda","Serra",
D20="Timoteo Hellwing","Sul",
D20="Volnei Klug","Sul",
D20="Wagner da Silva","Vale dos Sinos",
D20="Marcelo de Souza","Sul",
D20="Fernando Moura","Serra",
D20="Paulo Renato","Litoral",
D20="Vinicios da Luz","Litoral",
D20="Bruno Santos","Litoral",
D20="Mauricio Keenan","Sul",
D20="Cristielen","Litoral",
D20="Juliano Lause","Grande POA",
D20="Thiago Fraga","Vale dos Sinos",
D20="Natalia","Vale dos Sinos",
D20="Guilherme Juhliano","Grande POA",
D20="Timoteo","Sul",
D20="Carlos Alberto","Sul",
D20="Anaina Schmidt","Sul",
D20="Rose - Nelvaira","Sul",
D20="Henrik Von Muhlen","Serra",
TRUE,""
)</f>
        <v>Serra</v>
      </c>
      <c r="G20" t="str">
        <v>Franciele</v>
      </c>
      <c r="H20" t="str">
        <v>Diversos</v>
      </c>
      <c r="I20">
        <v>46203</v>
      </c>
      <c r="J20" t="str">
        <v>Não</v>
      </c>
    </row>
    <row r="21" xml:space="preserve">
      <c r="A21">
        <v>33900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tr">
        <v>Camila Arruda</v>
      </c>
      <c r="E21" t="str">
        <v>Televendas</v>
      </c>
      <c r="F21" t="str" cm="1" xml:space="preserve">
        <f t="array" ref="F21" xml:space="preserve">IFS(
D21="Andreia Lopes","Serra",
D21="Arlecio Lindemann","Sul",
D21="Dionis Jose","Vale dos Sinos",
D21="Douglas Montagna","Grande POA",
D21="Elisiane Lambrechtt","Grande POA",
D21="Gislaine Muller","Vale dos Sinos",
D21="Henrique Godinho","Grande POA",
D21="Rose - Nelvara","Sul",
D21="Viviane Botelho","Sul",
D21="Ariane Quebao","Grande POA",
D21="Camila Arruda","Sul",
D21="Jairo Costa","Sul",
D21="Moacir Lopes","Grande POA",
D21="Nei Xavier","Grande POA",
D21="Raquel Ricardo","Vale dos Sinos",
D21="Tatiana Lacerda","Serra",
D21="Timoteo Hellwing","Sul",
D21="Volnei Klug","Sul",
D21="Wagner da Silva","Vale dos Sinos",
D21="Marcelo de Souza","Sul",
D21="Fernando Moura","Serra",
D21="Paulo Renato","Litoral",
D21="Vinicios da Luz","Litoral",
D21="Bruno Santos","Litoral",
D21="Mauricio Keenan","Sul",
D21="Cristielen","Litoral",
D21="Juliano Lause","Grande POA",
D21="Thiago Fraga","Vale dos Sinos",
D21="Natalia","Vale dos Sinos",
D21="Guilherme Juhliano","Grande POA",
D21="Timoteo","Sul",
D21="Carlos Alberto","Sul",
D21="Anaina Schmidt","Sul",
D21="Rose - Nelvaira","Sul",
D21="Henrik Von Muhlen","Serra",
TRUE,""
)</f>
        <v>Sul</v>
      </c>
      <c r="G21" t="str">
        <v>Franciele</v>
      </c>
      <c r="H21" t="str">
        <v>Diversos</v>
      </c>
      <c r="I21">
        <v>46203</v>
      </c>
      <c r="J21" t="str">
        <v>Não</v>
      </c>
    </row>
    <row r="22" xml:space="preserve">
      <c r="A22">
        <v>41840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1464</v>
      </c>
      <c r="D22" t="str">
        <v>Camila Arruda</v>
      </c>
      <c r="E22" t="str">
        <v>Televendas</v>
      </c>
      <c r="F22" t="str" cm="1" xml:space="preserve">
        <f t="array" ref="F22" xml:space="preserve">IFS(
D22="Andreia Lopes","Serra",
D22="Arlecio Lindemann","Sul",
D22="Dionis Jose","Vale dos Sinos",
D22="Douglas Montagna","Grande POA",
D22="Elisiane Lambrechtt","Grande POA",
D22="Gislaine Muller","Vale dos Sinos",
D22="Henrique Godinho","Grande POA",
D22="Rose - Nelvara","Sul",
D22="Viviane Botelho","Sul",
D22="Ariane Quebao","Grande POA",
D22="Camila Arruda","Sul",
D22="Jairo Costa","Sul",
D22="Moacir Lopes","Grande POA",
D22="Nei Xavier","Grande POA",
D22="Raquel Ricardo","Vale dos Sinos",
D22="Tatiana Lacerda","Serra",
D22="Timoteo Hellwing","Sul",
D22="Volnei Klug","Sul",
D22="Wagner da Silva","Vale dos Sinos",
D22="Marcelo de Souza","Sul",
D22="Fernando Moura","Serra",
D22="Paulo Renato","Litoral",
D22="Vinicios da Luz","Litoral",
D22="Bruno Santos","Litoral",
D22="Mauricio Keenan","Sul",
D22="Cristielen","Litoral",
D22="Juliano Lause","Grande POA",
D22="Thiago Fraga","Vale dos Sinos",
D22="Natalia","Vale dos Sinos",
D22="Guilherme Juhliano","Grande POA",
D22="Timoteo","Sul",
D22="Carlos Alberto","Sul",
D22="Anaina Schmidt","Sul",
D22="Rose - Nelvaira","Sul",
D22="Henrik Von Muhlen","Serra",
TRUE,""
)</f>
        <v>Sul</v>
      </c>
      <c r="G22" t="str">
        <v>Franciele</v>
      </c>
      <c r="H22" t="str">
        <v>Diversos</v>
      </c>
      <c r="I22">
        <v>46203</v>
      </c>
      <c r="J22" t="str">
        <v>Não</v>
      </c>
    </row>
    <row r="23" xml:space="preserve">
      <c r="A23">
        <v>40431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1596</v>
      </c>
      <c r="D23" t="str">
        <v>Ariane Quebao</v>
      </c>
      <c r="E23" t="str">
        <v>Televendas</v>
      </c>
      <c r="F23" t="str" cm="1" xml:space="preserve">
        <f t="array" ref="F23" xml:space="preserve">IFS(
D23="Andreia Lopes","Serra",
D23="Arlecio Lindemann","Sul",
D23="Dionis Jose","Vale dos Sinos",
D23="Douglas Montagna","Grande POA",
D23="Elisiane Lambrechtt","Grande POA",
D23="Gislaine Muller","Vale dos Sinos",
D23="Henrique Godinho","Grande POA",
D23="Rose - Nelvara","Sul",
D23="Viviane Botelho","Sul",
D23="Ariane Quebao","Grande POA",
D23="Camila Arruda","Sul",
D23="Jairo Costa","Sul",
D23="Moacir Lopes","Grande POA",
D23="Nei Xavier","Grande POA",
D23="Raquel Ricardo","Vale dos Sinos",
D23="Tatiana Lacerda","Serra",
D23="Timoteo Hellwing","Sul",
D23="Volnei Klug","Sul",
D23="Wagner da Silva","Vale dos Sinos",
D23="Marcelo de Souza","Sul",
D23="Fernando Moura","Serra",
D23="Paulo Renato","Litoral",
D23="Vinicios da Luz","Litoral",
D23="Bruno Santos","Litoral",
D23="Mauricio Keenan","Sul",
D23="Cristielen","Litoral",
D23="Juliano Lause","Grande POA",
D23="Thiago Fraga","Vale dos Sinos",
D23="Natalia","Vale dos Sinos",
D23="Guilherme Juhliano","Grande POA",
D23="Timoteo","Sul",
D23="Carlos Alberto","Sul",
D23="Anaina Schmidt","Sul",
D23="Rose - Nelvaira","Sul",
D23="Henrik Von Muhlen","Serra",
TRUE,""
)</f>
        <v>Grande POA</v>
      </c>
      <c r="G23" t="str">
        <v>Franciele</v>
      </c>
      <c r="H23" t="str">
        <v>Diversos</v>
      </c>
      <c r="I23">
        <v>46203</v>
      </c>
      <c r="J23" t="str">
        <v>Não</v>
      </c>
    </row>
    <row r="24" xml:space="preserve">
      <c r="A24">
        <v>41521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1596</v>
      </c>
      <c r="D24" t="str">
        <v>Ariane Quebao</v>
      </c>
      <c r="E24" t="str">
        <v>Televendas</v>
      </c>
      <c r="F24" t="str" cm="1" xml:space="preserve">
        <f t="array" ref="F24" xml:space="preserve">IFS(
D24="Andreia Lopes","Serra",
D24="Arlecio Lindemann","Sul",
D24="Dionis Jose","Vale dos Sinos",
D24="Douglas Montagna","Grande POA",
D24="Elisiane Lambrechtt","Grande POA",
D24="Gislaine Muller","Vale dos Sinos",
D24="Henrique Godinho","Grande POA",
D24="Rose - Nelvara","Sul",
D24="Viviane Botelho","Sul",
D24="Ariane Quebao","Grande POA",
D24="Camila Arruda","Sul",
D24="Jairo Costa","Sul",
D24="Moacir Lopes","Grande POA",
D24="Nei Xavier","Grande POA",
D24="Raquel Ricardo","Vale dos Sinos",
D24="Tatiana Lacerda","Serra",
D24="Timoteo Hellwing","Sul",
D24="Volnei Klug","Sul",
D24="Wagner da Silva","Vale dos Sinos",
D24="Marcelo de Souza","Sul",
D24="Fernando Moura","Serra",
D24="Paulo Renato","Litoral",
D24="Vinicios da Luz","Litoral",
D24="Bruno Santos","Litoral",
D24="Mauricio Keenan","Sul",
D24="Cristielen","Litoral",
D24="Juliano Lause","Grande POA",
D24="Thiago Fraga","Vale dos Sinos",
D24="Natalia","Vale dos Sinos",
D24="Guilherme Juhliano","Grande POA",
D24="Timoteo","Sul",
D24="Carlos Alberto","Sul",
D24="Anaina Schmidt","Sul",
D24="Rose - Nelvaira","Sul",
D24="Henrik Von Muhlen","Serra",
TRUE,""
)</f>
        <v>Grande POA</v>
      </c>
      <c r="G24" t="str">
        <v>Franciele</v>
      </c>
      <c r="H24" t="str">
        <v>Diversos</v>
      </c>
      <c r="I24">
        <v>46203</v>
      </c>
      <c r="J24" t="str">
        <v>Não</v>
      </c>
    </row>
    <row r="25" xml:space="preserve">
      <c r="A25">
        <v>40182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1596</v>
      </c>
      <c r="D25" t="str">
        <v>Ariane Quebao</v>
      </c>
      <c r="E25" t="str">
        <v>Televendas</v>
      </c>
      <c r="F25" t="str" cm="1" xml:space="preserve">
        <f t="array" ref="F25" xml:space="preserve">IFS(
D25="Andreia Lopes","Serra",
D25="Arlecio Lindemann","Sul",
D25="Dionis Jose","Vale dos Sinos",
D25="Douglas Montagna","Grande POA",
D25="Elisiane Lambrechtt","Grande POA",
D25="Gislaine Muller","Vale dos Sinos",
D25="Henrique Godinho","Grande POA",
D25="Rose - Nelvara","Sul",
D25="Viviane Botelho","Sul",
D25="Ariane Quebao","Grande POA",
D25="Camila Arruda","Sul",
D25="Jairo Costa","Sul",
D25="Moacir Lopes","Grande POA",
D25="Nei Xavier","Grande POA",
D25="Raquel Ricardo","Vale dos Sinos",
D25="Tatiana Lacerda","Serra",
D25="Timoteo Hellwing","Sul",
D25="Volnei Klug","Sul",
D25="Wagner da Silva","Vale dos Sinos",
D25="Marcelo de Souza","Sul",
D25="Fernando Moura","Serra",
D25="Paulo Renato","Litoral",
D25="Vinicios da Luz","Litoral",
D25="Bruno Santos","Litoral",
D25="Mauricio Keenan","Sul",
D25="Cristielen","Litoral",
D25="Juliano Lause","Grande POA",
D25="Thiago Fraga","Vale dos Sinos",
D25="Natalia","Vale dos Sinos",
D25="Guilherme Juhliano","Grande POA",
D25="Timoteo","Sul",
D25="Carlos Alberto","Sul",
D25="Anaina Schmidt","Sul",
D25="Rose - Nelvaira","Sul",
D25="Henrik Von Muhlen","Serra",
TRUE,""
)</f>
        <v>Grande POA</v>
      </c>
      <c r="G25" t="str">
        <v>Franciele</v>
      </c>
      <c r="H25" t="str">
        <v>Diversos</v>
      </c>
      <c r="I25">
        <v>46203</v>
      </c>
      <c r="J25" t="str">
        <v>Não</v>
      </c>
    </row>
    <row r="26" xml:space="preserve">
      <c r="A26">
        <v>41258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1596</v>
      </c>
      <c r="D26" t="str">
        <v>Ariane Quebao</v>
      </c>
      <c r="E26" t="str">
        <v>Televendas</v>
      </c>
      <c r="F26" t="str" cm="1" xml:space="preserve">
        <f t="array" ref="F26" xml:space="preserve">IFS(
D26="Andreia Lopes","Serra",
D26="Arlecio Lindemann","Sul",
D26="Dionis Jose","Vale dos Sinos",
D26="Douglas Montagna","Grande POA",
D26="Elisiane Lambrechtt","Grande POA",
D26="Gislaine Muller","Vale dos Sinos",
D26="Henrique Godinho","Grande POA",
D26="Rose - Nelvara","Sul",
D26="Viviane Botelho","Sul",
D26="Ariane Quebao","Grande POA",
D26="Camila Arruda","Sul",
D26="Jairo Costa","Sul",
D26="Moacir Lopes","Grande POA",
D26="Nei Xavier","Grande POA",
D26="Raquel Ricardo","Vale dos Sinos",
D26="Tatiana Lacerda","Serra",
D26="Timoteo Hellwing","Sul",
D26="Volnei Klug","Sul",
D26="Wagner da Silva","Vale dos Sinos",
D26="Marcelo de Souza","Sul",
D26="Fernando Moura","Serra",
D26="Paulo Renato","Litoral",
D26="Vinicios da Luz","Litoral",
D26="Bruno Santos","Litoral",
D26="Mauricio Keenan","Sul",
D26="Cristielen","Litoral",
D26="Juliano Lause","Grande POA",
D26="Thiago Fraga","Vale dos Sinos",
D26="Natalia","Vale dos Sinos",
D26="Guilherme Juhliano","Grande POA",
D26="Timoteo","Sul",
D26="Carlos Alberto","Sul",
D26="Anaina Schmidt","Sul",
D26="Rose - Nelvaira","Sul",
D26="Henrik Von Muhlen","Serra",
TRUE,""
)</f>
        <v>Grande POA</v>
      </c>
      <c r="G26" t="str">
        <v>Franciele</v>
      </c>
      <c r="H26" t="str">
        <v>Diversos</v>
      </c>
      <c r="I26">
        <v>46203</v>
      </c>
      <c r="J26" t="str">
        <v>Não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26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R18"/>
  <sheetViews>
    <sheetView workbookViewId="0" rightToLeft="0"/>
  </sheetViews>
  <sheetData>
    <row r="1">
      <c r="A1" t="str">
        <v>CAMPANHA BRASIL VENCEU | 20-44 DIAS | REPRESENTANTES</v>
      </c>
    </row>
    <row r="4">
      <c r="A4" t="str">
        <v>TEXTO DE DISPARO</v>
      </c>
    </row>
    <row r="5">
      <c r="A5" t="str">
        <v xml:space="preserve">O Brasil venceu... agora é a vez do seu negócio marcar um golaço! Conte com a MAR Food Service para abastecer seu estabelecimento com produtos de qualidade, entrega rápida e atendimento especializado. ⚽ Clique abaixo e fale com nossa equipe para solicitar um orçamento personalizado. </v>
      </c>
    </row>
    <row r="8">
      <c r="A8" t="str">
        <v>PÚBLICO DE DISPARO</v>
      </c>
    </row>
    <row r="9" xml:space="preserve">
      <c r="A9" t="str" xml:space="preserve">
        <v xml:space="preserve">Todos_x000d_
20 à 44 dias sem compra</v>
      </c>
    </row>
    <row r="12">
      <c r="A12" t="str">
        <v>RESUMO DE DISPARO</v>
      </c>
    </row>
    <row r="13" xml:space="preserve">
      <c r="A13" t="str" xml:space="preserve">
        <v xml:space="preserve">984 contatos totais_x000d_
314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44481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1623</v>
      </c>
      <c r="D18" t="str">
        <v>Wagner da Silva</v>
      </c>
      <c r="E18" t="str">
        <v>Externo</v>
      </c>
      <c r="F18" t="str" cm="1" xml:space="preserve">
        <f t="array" ref="F18" xml:space="preserve">IFS(
D18="Andreia Lopes","Serra",
D18="Arlecio Lindemann","Sul",
D18="Dionis Jose","Vale dos Sinos",
D18="Douglas Montagna","Grande POA",
D18="Elisiane Lambrechtt","Grande POA",
D18="Gislaine Muller","Vale dos Sinos",
D18="Henrique Godinho","Grande POA",
D18="Rose - Nelvara","Sul",
D18="Viviane Botelho","Sul",
D18="Ariane Quebao","Grande POA",
D18="Camila Arruda","Sul",
D18="Jairo Costa","Sul",
D18="Moacir Lopes","Grande POA",
D18="Nei Xavier","Grande POA",
D18="Raquel Ricardo","Vale dos Sinos",
D18="Tatiana Lacerda","Serra",
D18="Timoteo Hellwing","Sul",
D18="Volnei Klug","Sul",
D18="Wagner da Silva","Vale dos Sinos",
D18="Marcelo de Souza","Sul",
D18="Fernando Moura","Serra",
D18="Paulo Renato","Litoral",
D18="Vinicios da Luz","Litoral",
D18="Bruno Santos","Litoral",
D18="Mauricio Keenan","Sul",
D18="Cristielen","Litoral",
D18="Juliano Lause","Grande POA",
D18="Thiago Fraga","Vale dos Sinos",
D18="Natalia","Vale dos Sinos",
D18="Guilherme Juhliano","Grande POA",
D18="Timoteo","Sul",
D18="Carlos Alberto","Sul",
D18="Anaina Schmidt","Sul",
D18="Rose - Nelvaira","Sul",
D18="Henrik Von Muhlen","Serra",
TRUE,""
)</f>
        <v>Vale dos Sinos</v>
      </c>
      <c r="G18" t="str">
        <v>Leonardo</v>
      </c>
      <c r="H18" t="str">
        <v>20 à 44</v>
      </c>
      <c r="I18">
        <v>46203</v>
      </c>
      <c r="J18" t="str">
        <v>Não</v>
      </c>
    </row>
  </sheetData>
  <mergeCells count="8">
    <mergeCell ref="A13:N14"/>
    <mergeCell ref="A16:R16"/>
    <mergeCell ref="A1:R1"/>
    <mergeCell ref="A4:N4"/>
    <mergeCell ref="A8:N8"/>
    <mergeCell ref="A12:N12"/>
    <mergeCell ref="A5:N6"/>
    <mergeCell ref="A9:N10"/>
  </mergeCells>
  <pageMargins left="0.7" right="0.7" top="0.75" bottom="0.75" header="0.3" footer="0.3"/>
  <ignoredErrors>
    <ignoredError numberStoredAsText="1" sqref="A1:R18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R50"/>
  <sheetViews>
    <sheetView workbookViewId="0" rightToLeft="0"/>
  </sheetViews>
  <sheetData>
    <row r="1">
      <c r="A1" t="str">
        <v>CAMPANHA VOUCHER | 45-365 DIAS | TELEVENDAS</v>
      </c>
    </row>
    <row r="4">
      <c r="A4" t="str">
        <v>TEXTO DE DISPARO</v>
      </c>
    </row>
    <row r="5">
      <c r="A5" t="str">
        <v>Hoje você tem acesso a uma condição exclusiva! Responda "QUERO GARANTIR" e receba seu cupom com uma oferta especial. ⏳ Promoção por tempo limitado.</v>
      </c>
    </row>
    <row r="8">
      <c r="A8" t="str">
        <v>PÚBLICO DE DISPARO</v>
      </c>
    </row>
    <row r="9" xml:space="preserve">
      <c r="A9" t="str" xml:space="preserve">
        <v xml:space="preserve">CNPJ_x000d_
45 à 365 dias sem compra</v>
      </c>
    </row>
    <row r="12">
      <c r="A12" t="str">
        <v>RESUMO DE DISPARO</v>
      </c>
    </row>
    <row r="13" xml:space="preserve">
      <c r="A13" t="str" xml:space="preserve">
        <v xml:space="preserve">1395 contatos totais_x000d_
742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33381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1604</v>
      </c>
      <c r="D18" t="str">
        <v>Thiago Fraga</v>
      </c>
      <c r="E18" t="str">
        <v>Externo</v>
      </c>
      <c r="F18" t="str">
        <v>Vale dos Sinos</v>
      </c>
      <c r="G18" t="str">
        <v>Leonardo</v>
      </c>
      <c r="H18" t="str">
        <v>20 à 44</v>
      </c>
      <c r="I18">
        <v>46204</v>
      </c>
      <c r="J18" t="str">
        <v>Não</v>
      </c>
    </row>
    <row r="19" xml:space="preserve">
      <c r="A19">
        <v>24281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9886</v>
      </c>
      <c r="D19" t="str">
        <v>Tatiana Lacerda</v>
      </c>
      <c r="E19" t="str">
        <v>Televendas</v>
      </c>
      <c r="F19" t="str">
        <v>Serra</v>
      </c>
      <c r="G19" t="str">
        <v>Franciele</v>
      </c>
      <c r="H19" t="str">
        <v>Voucher</v>
      </c>
      <c r="I19">
        <v>46204</v>
      </c>
      <c r="J19" t="str">
        <v>Não</v>
      </c>
    </row>
    <row r="20" xml:space="preserve">
      <c r="A20">
        <v>36790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1429</v>
      </c>
      <c r="D20" t="str">
        <v>Natalia</v>
      </c>
      <c r="E20" t="str">
        <v>Televendas</v>
      </c>
      <c r="F20" t="str">
        <v>Vale dos Sinos</v>
      </c>
      <c r="G20" t="str">
        <v>Franciele</v>
      </c>
      <c r="H20" t="str">
        <v>Voucher</v>
      </c>
      <c r="I20">
        <v>46204</v>
      </c>
      <c r="J20" t="str">
        <v>Não</v>
      </c>
    </row>
    <row r="21" xml:space="preserve">
      <c r="A21">
        <v>26799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1429</v>
      </c>
      <c r="D21" t="str">
        <v>Natalia</v>
      </c>
      <c r="E21" t="str">
        <v>Televendas</v>
      </c>
      <c r="F21" t="str">
        <v>Vale dos Sinos</v>
      </c>
      <c r="G21" t="str">
        <v>Franciele</v>
      </c>
      <c r="H21" t="str">
        <v>Voucher</v>
      </c>
      <c r="I21">
        <v>46204</v>
      </c>
      <c r="J21" t="str">
        <v>Não</v>
      </c>
    </row>
    <row r="22" xml:space="preserve">
      <c r="A22">
        <v>42716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1429</v>
      </c>
      <c r="D22" t="str">
        <v>Natalia</v>
      </c>
      <c r="E22" t="str">
        <v>Televendas</v>
      </c>
      <c r="F22" t="str">
        <v>Vale dos Sinos</v>
      </c>
      <c r="G22" t="str">
        <v>Franciele</v>
      </c>
      <c r="H22" t="str">
        <v>Voucher</v>
      </c>
      <c r="I22">
        <v>46204</v>
      </c>
      <c r="J22" t="str">
        <v>Não</v>
      </c>
    </row>
    <row r="23" xml:space="preserve">
      <c r="A23">
        <v>34203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1429</v>
      </c>
      <c r="D23" t="str">
        <v>Natalia</v>
      </c>
      <c r="E23" t="str">
        <v>Televendas</v>
      </c>
      <c r="F23" t="str">
        <v>Vale dos Sinos</v>
      </c>
      <c r="G23" t="str">
        <v>Franciele</v>
      </c>
      <c r="H23" t="str">
        <v>Voucher</v>
      </c>
      <c r="I23">
        <v>46204</v>
      </c>
      <c r="J23" t="str">
        <v>Não</v>
      </c>
    </row>
    <row r="24" xml:space="preserve">
      <c r="A24">
        <v>36424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1429</v>
      </c>
      <c r="D24" t="str">
        <v>Natalia</v>
      </c>
      <c r="E24" t="str">
        <v>Televendas</v>
      </c>
      <c r="F24" t="str">
        <v>Vale dos Sinos</v>
      </c>
      <c r="G24" t="str">
        <v>Franciele</v>
      </c>
      <c r="H24" t="str">
        <v>Voucher</v>
      </c>
      <c r="I24">
        <v>46204</v>
      </c>
      <c r="J24" t="str">
        <v>Não</v>
      </c>
    </row>
    <row r="25" xml:space="preserve">
      <c r="A25">
        <v>40575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1211</v>
      </c>
      <c r="D25" t="str">
        <v>Cristielen</v>
      </c>
      <c r="E25" t="str">
        <v>Televendas</v>
      </c>
      <c r="F25" t="str">
        <v>Litoral</v>
      </c>
      <c r="G25" t="str">
        <v>Franciele</v>
      </c>
      <c r="H25" t="str">
        <v>Voucher</v>
      </c>
      <c r="I25">
        <v>46204</v>
      </c>
      <c r="J25" t="str">
        <v>Não</v>
      </c>
    </row>
    <row r="26" xml:space="preserve">
      <c r="A26">
        <v>34855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1211</v>
      </c>
      <c r="D26" t="str">
        <v>Cristielen</v>
      </c>
      <c r="E26" t="str">
        <v>Televendas</v>
      </c>
      <c r="F26" t="str">
        <v>Litoral</v>
      </c>
      <c r="G26" t="str">
        <v>Franciele</v>
      </c>
      <c r="H26" t="str">
        <v>Voucher</v>
      </c>
      <c r="I26">
        <v>46204</v>
      </c>
      <c r="J26" t="str">
        <v>Não</v>
      </c>
    </row>
    <row r="27" xml:space="preserve">
      <c r="A27">
        <v>43063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1211</v>
      </c>
      <c r="D27" t="str">
        <v>Cristielen</v>
      </c>
      <c r="E27" t="str">
        <v>Televendas</v>
      </c>
      <c r="F27" t="str">
        <v>Litoral</v>
      </c>
      <c r="G27" t="str">
        <v>Franciele</v>
      </c>
      <c r="H27" t="str">
        <v>Voucher</v>
      </c>
      <c r="I27">
        <v>46204</v>
      </c>
      <c r="J27" t="str">
        <v>Não</v>
      </c>
    </row>
    <row r="28" xml:space="preserve">
      <c r="A28">
        <v>28038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1211</v>
      </c>
      <c r="D28" t="str">
        <v>Cristielen</v>
      </c>
      <c r="E28" t="str">
        <v>Televendas</v>
      </c>
      <c r="F28" t="str">
        <v>Litoral</v>
      </c>
      <c r="G28" t="str">
        <v>Franciele</v>
      </c>
      <c r="H28" t="str">
        <v>Voucher</v>
      </c>
      <c r="I28">
        <v>46204</v>
      </c>
      <c r="J28" t="str">
        <v>Não</v>
      </c>
    </row>
    <row r="29" xml:space="preserve">
      <c r="A29">
        <v>13077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1464</v>
      </c>
      <c r="D29" t="str">
        <v>Camila Arruda</v>
      </c>
      <c r="E29" t="str">
        <v>Televendas</v>
      </c>
      <c r="F29" t="str">
        <v>Sul</v>
      </c>
      <c r="G29" t="str">
        <v>Franciele</v>
      </c>
      <c r="H29" t="str">
        <v>Voucher</v>
      </c>
      <c r="I29">
        <v>46204</v>
      </c>
      <c r="J29" t="str">
        <v>Não</v>
      </c>
    </row>
    <row r="30" xml:space="preserve">
      <c r="A30">
        <v>42492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1464</v>
      </c>
      <c r="D30" t="str">
        <v>Camila Arruda</v>
      </c>
      <c r="E30" t="str">
        <v>Televendas</v>
      </c>
      <c r="F30" t="str">
        <v>Sul</v>
      </c>
      <c r="G30" t="str">
        <v>Franciele</v>
      </c>
      <c r="H30" t="str">
        <v>Voucher</v>
      </c>
      <c r="I30">
        <v>46204</v>
      </c>
      <c r="J30" t="str">
        <v>Não</v>
      </c>
    </row>
    <row r="31" xml:space="preserve">
      <c r="A31">
        <v>22385</v>
      </c>
      <c r="B31" t="str">
        <v>Teve Interesse</v>
      </c>
      <c r="C31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>1464</v>
      </c>
      <c r="D31" t="str">
        <v>Camila Arruda</v>
      </c>
      <c r="E31" t="str">
        <v>Televendas</v>
      </c>
      <c r="F31" t="str">
        <v>Sul</v>
      </c>
      <c r="G31" t="str">
        <v>Franciele</v>
      </c>
      <c r="H31" t="str">
        <v>Voucher</v>
      </c>
      <c r="I31">
        <v>46204</v>
      </c>
      <c r="J31" t="str">
        <v>Não</v>
      </c>
    </row>
    <row r="32" xml:space="preserve">
      <c r="A32">
        <v>40474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1464</v>
      </c>
      <c r="D32" t="str">
        <v>Camila Arruda</v>
      </c>
      <c r="E32" t="str">
        <v>Televendas</v>
      </c>
      <c r="F32" t="str">
        <v>Sul</v>
      </c>
      <c r="G32" t="str">
        <v>Franciele</v>
      </c>
      <c r="H32" t="str">
        <v>Voucher</v>
      </c>
      <c r="I32">
        <v>46204</v>
      </c>
      <c r="J32" t="str">
        <v>Não</v>
      </c>
    </row>
    <row r="33" xml:space="preserve">
      <c r="A33">
        <v>39612</v>
      </c>
      <c r="B33" t="str">
        <v>Teve Interesse</v>
      </c>
      <c r="C33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>1464</v>
      </c>
      <c r="D33" t="str">
        <v>Camila Arruda</v>
      </c>
      <c r="E33" t="str">
        <v>Televendas</v>
      </c>
      <c r="F33" t="str">
        <v>Sul</v>
      </c>
      <c r="G33" t="str">
        <v>Franciele</v>
      </c>
      <c r="H33" t="str">
        <v>Voucher</v>
      </c>
      <c r="I33">
        <v>46204</v>
      </c>
      <c r="J33" t="str">
        <v>Não</v>
      </c>
    </row>
    <row r="34" xml:space="preserve">
      <c r="A34">
        <v>38087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1464</v>
      </c>
      <c r="D34" t="str">
        <v>Camila Arruda</v>
      </c>
      <c r="E34" t="str">
        <v>Televendas</v>
      </c>
      <c r="F34" t="str">
        <v>Sul</v>
      </c>
      <c r="G34" t="str">
        <v>Franciele</v>
      </c>
      <c r="H34" t="str">
        <v>Voucher</v>
      </c>
      <c r="I34">
        <v>46204</v>
      </c>
      <c r="J34" t="str">
        <v>Não</v>
      </c>
    </row>
    <row r="35" xml:space="preserve">
      <c r="A35">
        <v>41577</v>
      </c>
      <c r="B35" t="str">
        <v>Teve Interesse</v>
      </c>
      <c r="C35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>1464</v>
      </c>
      <c r="D35" t="str">
        <v>Camila Arruda</v>
      </c>
      <c r="E35" t="str">
        <v>Televendas</v>
      </c>
      <c r="F35" t="str">
        <v>Sul</v>
      </c>
      <c r="G35" t="str">
        <v>Franciele</v>
      </c>
      <c r="H35" t="str">
        <v>Voucher</v>
      </c>
      <c r="I35">
        <v>46204</v>
      </c>
      <c r="J35" t="str">
        <v>Não</v>
      </c>
    </row>
    <row r="36" xml:space="preserve">
      <c r="A36">
        <v>41527</v>
      </c>
      <c r="B36" t="str">
        <v>Teve Interesse</v>
      </c>
      <c r="C36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>1464</v>
      </c>
      <c r="D36" t="str">
        <v>Camila Arruda</v>
      </c>
      <c r="E36" t="str">
        <v>Televendas</v>
      </c>
      <c r="F36" t="str">
        <v>Sul</v>
      </c>
      <c r="G36" t="str">
        <v>Franciele</v>
      </c>
      <c r="H36" t="str">
        <v>Voucher</v>
      </c>
      <c r="I36">
        <v>46204</v>
      </c>
      <c r="J36" t="str">
        <v>Não</v>
      </c>
    </row>
    <row r="37" xml:space="preserve">
      <c r="A37">
        <v>41632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1464</v>
      </c>
      <c r="D37" t="str">
        <v>Camila Arruda</v>
      </c>
      <c r="E37" t="str">
        <v>Televendas</v>
      </c>
      <c r="F37" t="str">
        <v>Sul</v>
      </c>
      <c r="G37" t="str">
        <v>Franciele</v>
      </c>
      <c r="H37" t="str">
        <v>Voucher</v>
      </c>
      <c r="I37">
        <v>46204</v>
      </c>
      <c r="J37" t="str">
        <v>Não</v>
      </c>
    </row>
    <row r="38" xml:space="preserve">
      <c r="A38">
        <v>41615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1464</v>
      </c>
      <c r="D38" t="str">
        <v>Camila Arruda</v>
      </c>
      <c r="E38" t="str">
        <v>Televendas</v>
      </c>
      <c r="F38" t="str">
        <v>Sul</v>
      </c>
      <c r="G38" t="str">
        <v>Franciele</v>
      </c>
      <c r="H38" t="str">
        <v>Voucher</v>
      </c>
      <c r="I38">
        <v>46204</v>
      </c>
      <c r="J38" t="str">
        <v>Não</v>
      </c>
    </row>
    <row r="39" xml:space="preserve">
      <c r="A39">
        <v>42639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1464</v>
      </c>
      <c r="D39" t="str">
        <v>Camila Arruda</v>
      </c>
      <c r="E39" t="str">
        <v>Televendas</v>
      </c>
      <c r="F39" t="str">
        <v>Sul</v>
      </c>
      <c r="G39" t="str">
        <v>Franciele</v>
      </c>
      <c r="H39" t="str">
        <v>Voucher</v>
      </c>
      <c r="I39">
        <v>46204</v>
      </c>
      <c r="J39" t="str">
        <v>Não</v>
      </c>
    </row>
    <row r="40" xml:space="preserve">
      <c r="A40">
        <v>44802</v>
      </c>
      <c r="B40" t="str">
        <v>Teve Interesse</v>
      </c>
      <c r="C40" xml:space="preserve">
        <f xml:space="preserve">IF(D40="Cristielen",1211,
IF(D40="Jenifer",1575,
IF(D40="Tatiana Lacerda",9886,
IF(D40="Andreia Lopes",1504,
IF(D40="Arlecio Lindemann",1328,
IF(D40="Dionis Jose",1525,
IF(D40="Douglas Montagna",1581,
IF(D40="Elisiane Lambrechtt",1234,
IF(D40="Gislaine Muller",9937,
IF(D40="Henrique Godinho",1518,
IF(D40="Rose - Nelvara",9863,
IF(D40="Viviane Botelho",9872,
IF(D40="Ariane Quebao",1596,
IF(D40="Ariane",1596,
IF(D40="Camila Arruda",1464,
IF(D40="Camila",1464,
IF(D40="Jairo Costa",9911,
IF(D40="Moacir Lopes",1278,
IF(D40="Nei Xavier",1150,
IF(D40="Raquel Ricardo",1217,
IF(D40="Timoteo Hellwing",9839,
IF(D40="Volnei Klug",1335,
IF(D40="Natalia",1429,
IF(D40="Wagner da Silva",1623,
IF(D40="Marcelo de Souza",9808,
IF(D40="Fernando Moura",1450,
IF(D40="Paulo Renato",6127,
IF(D40="Vinicios da Luz",9905,
IF(D40="Bruno Santos",1273,
IF(D40="Mauricio Keenan",1500,
IF(D40="Juliano Lause",1544,
IF(D40="Guilherme Juhliano",1522,
IF(D40="Timoteo",9839,
IF(D40="Carlos Alberto",1615,
IF(D40="Anaina Schmidt",1503,
IF(D40="Rose - Nelvaira",9863,
IF(D40="Henrik Von Muhlen",1280,
IF(D40="Luiz Olavo",1607,
IF(D40="Sidimar Luis",1325,
IF(D40="Thiago Fraga",1604,""))))))))))))))))))))))))))))))))))))))))</f>
        <v>1464</v>
      </c>
      <c r="D40" t="str">
        <v>Camila Arruda</v>
      </c>
      <c r="E40" t="str">
        <v>Televendas</v>
      </c>
      <c r="F40" t="str">
        <v>Sul</v>
      </c>
      <c r="G40" t="str">
        <v>Franciele</v>
      </c>
      <c r="H40" t="str">
        <v>Voucher</v>
      </c>
      <c r="I40">
        <v>46204</v>
      </c>
      <c r="J40" t="str">
        <v>Não</v>
      </c>
    </row>
    <row r="41" xml:space="preserve">
      <c r="A41">
        <v>36900</v>
      </c>
      <c r="B41" t="str">
        <v>Teve Interesse</v>
      </c>
      <c r="C41" xml:space="preserve">
        <f xml:space="preserve">IF(D41="Cristielen",1211,
IF(D41="Jenifer",1575,
IF(D41="Tatiana Lacerda",9886,
IF(D41="Andreia Lopes",1504,
IF(D41="Arlecio Lindemann",1328,
IF(D41="Dionis Jose",1525,
IF(D41="Douglas Montagna",1581,
IF(D41="Elisiane Lambrechtt",1234,
IF(D41="Gislaine Muller",9937,
IF(D41="Henrique Godinho",1518,
IF(D41="Rose - Nelvara",9863,
IF(D41="Viviane Botelho",9872,
IF(D41="Ariane Quebao",1596,
IF(D41="Ariane",1596,
IF(D41="Camila Arruda",1464,
IF(D41="Camila",1464,
IF(D41="Jairo Costa",9911,
IF(D41="Moacir Lopes",1278,
IF(D41="Nei Xavier",1150,
IF(D41="Raquel Ricardo",1217,
IF(D41="Timoteo Hellwing",9839,
IF(D41="Volnei Klug",1335,
IF(D41="Natalia",1429,
IF(D41="Wagner da Silva",1623,
IF(D41="Marcelo de Souza",9808,
IF(D41="Fernando Moura",1450,
IF(D41="Paulo Renato",6127,
IF(D41="Vinicios da Luz",9905,
IF(D41="Bruno Santos",1273,
IF(D41="Mauricio Keenan",1500,
IF(D41="Juliano Lause",1544,
IF(D41="Guilherme Juhliano",1522,
IF(D41="Timoteo",9839,
IF(D41="Carlos Alberto",1615,
IF(D41="Anaina Schmidt",1503,
IF(D41="Rose - Nelvaira",9863,
IF(D41="Henrik Von Muhlen",1280,
IF(D41="Luiz Olavo",1607,
IF(D41="Sidimar Luis",1325,
IF(D41="Thiago Fraga",1604,""))))))))))))))))))))))))))))))))))))))))</f>
        <v>1596</v>
      </c>
      <c r="D41" t="str">
        <v>Ariane Quebao</v>
      </c>
      <c r="E41" t="str">
        <v>Televendas</v>
      </c>
      <c r="F41" t="str">
        <v>Grande POA</v>
      </c>
      <c r="G41" t="str">
        <v>Franciele</v>
      </c>
      <c r="H41" t="str">
        <v>Voucher</v>
      </c>
      <c r="I41">
        <v>46204</v>
      </c>
      <c r="J41" t="str">
        <v>Não</v>
      </c>
    </row>
    <row r="42" xml:space="preserve">
      <c r="A42">
        <v>43173</v>
      </c>
      <c r="B42" t="str">
        <v>Teve Interesse</v>
      </c>
      <c r="C42" xml:space="preserve">
        <f xml:space="preserve">IF(D42="Cristielen",1211,
IF(D42="Jenifer",1575,
IF(D42="Tatiana Lacerda",9886,
IF(D42="Andreia Lopes",1504,
IF(D42="Arlecio Lindemann",1328,
IF(D42="Dionis Jose",1525,
IF(D42="Douglas Montagna",1581,
IF(D42="Elisiane Lambrechtt",1234,
IF(D42="Gislaine Muller",9937,
IF(D42="Henrique Godinho",1518,
IF(D42="Rose - Nelvara",9863,
IF(D42="Viviane Botelho",9872,
IF(D42="Ariane Quebao",1596,
IF(D42="Ariane",1596,
IF(D42="Camila Arruda",1464,
IF(D42="Camila",1464,
IF(D42="Jairo Costa",9911,
IF(D42="Moacir Lopes",1278,
IF(D42="Nei Xavier",1150,
IF(D42="Raquel Ricardo",1217,
IF(D42="Timoteo Hellwing",9839,
IF(D42="Volnei Klug",1335,
IF(D42="Natalia",1429,
IF(D42="Wagner da Silva",1623,
IF(D42="Marcelo de Souza",9808,
IF(D42="Fernando Moura",1450,
IF(D42="Paulo Renato",6127,
IF(D42="Vinicios da Luz",9905,
IF(D42="Bruno Santos",1273,
IF(D42="Mauricio Keenan",1500,
IF(D42="Juliano Lause",1544,
IF(D42="Guilherme Juhliano",1522,
IF(D42="Timoteo",9839,
IF(D42="Carlos Alberto",1615,
IF(D42="Anaina Schmidt",1503,
IF(D42="Rose - Nelvaira",9863,
IF(D42="Henrik Von Muhlen",1280,
IF(D42="Luiz Olavo",1607,
IF(D42="Sidimar Luis",1325,
IF(D42="Thiago Fraga",1604,""))))))))))))))))))))))))))))))))))))))))</f>
        <v>1596</v>
      </c>
      <c r="D42" t="str">
        <v>Ariane Quebao</v>
      </c>
      <c r="E42" t="str">
        <v>Televendas</v>
      </c>
      <c r="F42" t="str">
        <v>Grande POA</v>
      </c>
      <c r="G42" t="str">
        <v>Franciele</v>
      </c>
      <c r="H42" t="str">
        <v>Voucher</v>
      </c>
      <c r="I42">
        <v>46204</v>
      </c>
      <c r="J42" t="str">
        <v>Não</v>
      </c>
    </row>
    <row r="43" xml:space="preserve">
      <c r="A43">
        <v>35916</v>
      </c>
      <c r="B43" t="str">
        <v>Teve Interesse</v>
      </c>
      <c r="C43" xml:space="preserve">
        <f xml:space="preserve">IF(D43="Cristielen",1211,
IF(D43="Jenifer",1575,
IF(D43="Tatiana Lacerda",9886,
IF(D43="Andreia Lopes",1504,
IF(D43="Arlecio Lindemann",1328,
IF(D43="Dionis Jose",1525,
IF(D43="Douglas Montagna",1581,
IF(D43="Elisiane Lambrechtt",1234,
IF(D43="Gislaine Muller",9937,
IF(D43="Henrique Godinho",1518,
IF(D43="Rose - Nelvara",9863,
IF(D43="Viviane Botelho",9872,
IF(D43="Ariane Quebao",1596,
IF(D43="Ariane",1596,
IF(D43="Camila Arruda",1464,
IF(D43="Camila",1464,
IF(D43="Jairo Costa",9911,
IF(D43="Moacir Lopes",1278,
IF(D43="Nei Xavier",1150,
IF(D43="Raquel Ricardo",1217,
IF(D43="Timoteo Hellwing",9839,
IF(D43="Volnei Klug",1335,
IF(D43="Natalia",1429,
IF(D43="Wagner da Silva",1623,
IF(D43="Marcelo de Souza",9808,
IF(D43="Fernando Moura",1450,
IF(D43="Paulo Renato",6127,
IF(D43="Vinicios da Luz",9905,
IF(D43="Bruno Santos",1273,
IF(D43="Mauricio Keenan",1500,
IF(D43="Juliano Lause",1544,
IF(D43="Guilherme Juhliano",1522,
IF(D43="Timoteo",9839,
IF(D43="Carlos Alberto",1615,
IF(D43="Anaina Schmidt",1503,
IF(D43="Rose - Nelvaira",9863,
IF(D43="Henrik Von Muhlen",1280,
IF(D43="Luiz Olavo",1607,
IF(D43="Sidimar Luis",1325,
IF(D43="Thiago Fraga",1604,""))))))))))))))))))))))))))))))))))))))))</f>
        <v>1596</v>
      </c>
      <c r="D43" t="str">
        <v>Ariane Quebao</v>
      </c>
      <c r="E43" t="str">
        <v>Televendas</v>
      </c>
      <c r="F43" t="str">
        <v>Grande POA</v>
      </c>
      <c r="G43" t="str">
        <v>Franciele</v>
      </c>
      <c r="H43" t="str">
        <v>Voucher</v>
      </c>
      <c r="I43">
        <v>46204</v>
      </c>
      <c r="J43" t="str">
        <v>Não</v>
      </c>
    </row>
    <row r="44" xml:space="preserve">
      <c r="A44">
        <v>38579</v>
      </c>
      <c r="B44" t="str">
        <v>Teve Interesse</v>
      </c>
      <c r="C44" xml:space="preserve">
        <f xml:space="preserve">IF(D44="Cristielen",1211,
IF(D44="Jenifer",1575,
IF(D44="Tatiana Lacerda",9886,
IF(D44="Andreia Lopes",1504,
IF(D44="Arlecio Lindemann",1328,
IF(D44="Dionis Jose",1525,
IF(D44="Douglas Montagna",1581,
IF(D44="Elisiane Lambrechtt",1234,
IF(D44="Gislaine Muller",9937,
IF(D44="Henrique Godinho",1518,
IF(D44="Rose - Nelvara",9863,
IF(D44="Viviane Botelho",9872,
IF(D44="Ariane Quebao",1596,
IF(D44="Ariane",1596,
IF(D44="Camila Arruda",1464,
IF(D44="Camila",1464,
IF(D44="Jairo Costa",9911,
IF(D44="Moacir Lopes",1278,
IF(D44="Nei Xavier",1150,
IF(D44="Raquel Ricardo",1217,
IF(D44="Timoteo Hellwing",9839,
IF(D44="Volnei Klug",1335,
IF(D44="Natalia",1429,
IF(D44="Wagner da Silva",1623,
IF(D44="Marcelo de Souza",9808,
IF(D44="Fernando Moura",1450,
IF(D44="Paulo Renato",6127,
IF(D44="Vinicios da Luz",9905,
IF(D44="Bruno Santos",1273,
IF(D44="Mauricio Keenan",1500,
IF(D44="Juliano Lause",1544,
IF(D44="Guilherme Juhliano",1522,
IF(D44="Timoteo",9839,
IF(D44="Carlos Alberto",1615,
IF(D44="Anaina Schmidt",1503,
IF(D44="Rose - Nelvaira",9863,
IF(D44="Henrik Von Muhlen",1280,
IF(D44="Luiz Olavo",1607,
IF(D44="Sidimar Luis",1325,
IF(D44="Thiago Fraga",1604,""))))))))))))))))))))))))))))))))))))))))</f>
        <v>1429</v>
      </c>
      <c r="D44" t="str">
        <v>Natalia</v>
      </c>
      <c r="E44" t="str">
        <v>Televendas</v>
      </c>
      <c r="F44" t="str">
        <v>Vale dos Sinos</v>
      </c>
      <c r="G44" t="str">
        <v>Franciele</v>
      </c>
      <c r="H44" t="str">
        <v>Voucher</v>
      </c>
      <c r="I44">
        <v>46204</v>
      </c>
    </row>
    <row r="45" xml:space="preserve">
      <c r="A45">
        <v>42136</v>
      </c>
      <c r="B45" t="str">
        <v>Teve Interesse</v>
      </c>
      <c r="C45" xml:space="preserve">
        <f xml:space="preserve">IF(D45="Cristielen",1211,
IF(D45="Jenifer",1575,
IF(D45="Tatiana Lacerda",9886,
IF(D45="Andreia Lopes",1504,
IF(D45="Arlecio Lindemann",1328,
IF(D45="Dionis Jose",1525,
IF(D45="Douglas Montagna",1581,
IF(D45="Elisiane Lambrechtt",1234,
IF(D45="Gislaine Muller",9937,
IF(D45="Henrique Godinho",1518,
IF(D45="Rose - Nelvara",9863,
IF(D45="Viviane Botelho",9872,
IF(D45="Ariane Quebao",1596,
IF(D45="Ariane",1596,
IF(D45="Camila Arruda",1464,
IF(D45="Camila",1464,
IF(D45="Jairo Costa",9911,
IF(D45="Moacir Lopes",1278,
IF(D45="Nei Xavier",1150,
IF(D45="Raquel Ricardo",1217,
IF(D45="Timoteo Hellwing",9839,
IF(D45="Volnei Klug",1335,
IF(D45="Natalia",1429,
IF(D45="Wagner da Silva",1623,
IF(D45="Marcelo de Souza",9808,
IF(D45="Fernando Moura",1450,
IF(D45="Paulo Renato",6127,
IF(D45="Vinicios da Luz",9905,
IF(D45="Bruno Santos",1273,
IF(D45="Mauricio Keenan",1500,
IF(D45="Juliano Lause",1544,
IF(D45="Guilherme Juhliano",1522,
IF(D45="Timoteo",9839,
IF(D45="Carlos Alberto",1615,
IF(D45="Anaina Schmidt",1503,
IF(D45="Rose - Nelvaira",9863,
IF(D45="Henrik Von Muhlen",1280,
IF(D45="Luiz Olavo",1607,
IF(D45="Sidimar Luis",1325,
IF(D45="Thiago Fraga",1604,""))))))))))))))))))))))))))))))))))))))))</f>
        <v>1596</v>
      </c>
      <c r="D45" t="str">
        <v>Ariane Quebao</v>
      </c>
      <c r="E45" t="str">
        <v>Televendas</v>
      </c>
      <c r="F45" t="str">
        <v>Grande POA</v>
      </c>
      <c r="G45" t="str">
        <v>Franciele</v>
      </c>
      <c r="H45" t="str">
        <v>Voucher</v>
      </c>
      <c r="I45">
        <v>46204</v>
      </c>
    </row>
    <row r="46" xml:space="preserve">
      <c r="A46">
        <v>36402</v>
      </c>
      <c r="B46" t="str">
        <v>Teve Interesse</v>
      </c>
      <c r="C46" xml:space="preserve">
        <f xml:space="preserve">IF(D46="Cristielen",1211,
IF(D46="Jenifer",1575,
IF(D46="Tatiana Lacerda",9886,
IF(D46="Andreia Lopes",1504,
IF(D46="Arlecio Lindemann",1328,
IF(D46="Dionis Jose",1525,
IF(D46="Douglas Montagna",1581,
IF(D46="Elisiane Lambrechtt",1234,
IF(D46="Gislaine Muller",9937,
IF(D46="Henrique Godinho",1518,
IF(D46="Rose - Nelvara",9863,
IF(D46="Viviane Botelho",9872,
IF(D46="Ariane Quebao",1596,
IF(D46="Ariane",1596,
IF(D46="Camila Arruda",1464,
IF(D46="Camila",1464,
IF(D46="Jairo Costa",9911,
IF(D46="Moacir Lopes",1278,
IF(D46="Nei Xavier",1150,
IF(D46="Raquel Ricardo",1217,
IF(D46="Timoteo Hellwing",9839,
IF(D46="Volnei Klug",1335,
IF(D46="Natalia",1429,
IF(D46="Wagner da Silva",1623,
IF(D46="Marcelo de Souza",9808,
IF(D46="Fernando Moura",1450,
IF(D46="Paulo Renato",6127,
IF(D46="Vinicios da Luz",9905,
IF(D46="Bruno Santos",1273,
IF(D46="Mauricio Keenan",1500,
IF(D46="Juliano Lause",1544,
IF(D46="Guilherme Juhliano",1522,
IF(D46="Timoteo",9839,
IF(D46="Carlos Alberto",1615,
IF(D46="Anaina Schmidt",1503,
IF(D46="Rose - Nelvaira",9863,
IF(D46="Henrik Von Muhlen",1280,
IF(D46="Luiz Olavo",1607,
IF(D46="Sidimar Luis",1325,
IF(D46="Thiago Fraga",1604,""))))))))))))))))))))))))))))))))))))))))</f>
        <v>1464</v>
      </c>
      <c r="D46" t="str">
        <v>Camila Arruda</v>
      </c>
      <c r="E46" t="str">
        <v>Televendas</v>
      </c>
      <c r="F46" t="str">
        <v>Sul</v>
      </c>
      <c r="G46" t="str">
        <v>Franciele</v>
      </c>
      <c r="H46" t="str">
        <v>Voucher</v>
      </c>
      <c r="I46">
        <v>46204</v>
      </c>
    </row>
    <row r="47" xml:space="preserve">
      <c r="A47">
        <v>43434</v>
      </c>
      <c r="B47" t="str">
        <v>Teve Interesse</v>
      </c>
      <c r="C47" xml:space="preserve">
        <f xml:space="preserve">IF(D47="Cristielen",1211,
IF(D47="Jenifer",1575,
IF(D47="Tatiana Lacerda",9886,
IF(D47="Andreia Lopes",1504,
IF(D47="Arlecio Lindemann",1328,
IF(D47="Dionis Jose",1525,
IF(D47="Douglas Montagna",1581,
IF(D47="Elisiane Lambrechtt",1234,
IF(D47="Gislaine Muller",9937,
IF(D47="Henrique Godinho",1518,
IF(D47="Rose - Nelvara",9863,
IF(D47="Viviane Botelho",9872,
IF(D47="Ariane Quebao",1596,
IF(D47="Ariane",1596,
IF(D47="Camila Arruda",1464,
IF(D47="Camila",1464,
IF(D47="Jairo Costa",9911,
IF(D47="Moacir Lopes",1278,
IF(D47="Nei Xavier",1150,
IF(D47="Raquel Ricardo",1217,
IF(D47="Timoteo Hellwing",9839,
IF(D47="Volnei Klug",1335,
IF(D47="Natalia",1429,
IF(D47="Wagner da Silva",1623,
IF(D47="Marcelo de Souza",9808,
IF(D47="Fernando Moura",1450,
IF(D47="Paulo Renato",6127,
IF(D47="Vinicios da Luz",9905,
IF(D47="Bruno Santos",1273,
IF(D47="Mauricio Keenan",1500,
IF(D47="Juliano Lause",1544,
IF(D47="Guilherme Juhliano",1522,
IF(D47="Timoteo",9839,
IF(D47="Carlos Alberto",1615,
IF(D47="Anaina Schmidt",1503,
IF(D47="Rose - Nelvaira",9863,
IF(D47="Henrik Von Muhlen",1280,
IF(D47="Luiz Olavo",1607,
IF(D47="Sidimar Luis",1325,
IF(D47="Thiago Fraga",1604,""))))))))))))))))))))))))))))))))))))))))</f>
        <v>1464</v>
      </c>
      <c r="D47" t="str">
        <v>Camila Arruda</v>
      </c>
      <c r="E47" t="str">
        <v>Televendas</v>
      </c>
      <c r="F47" t="str">
        <v>Sul</v>
      </c>
      <c r="G47" t="str">
        <v>Franciele</v>
      </c>
      <c r="H47" t="str">
        <v>Voucher</v>
      </c>
      <c r="I47">
        <v>46204</v>
      </c>
    </row>
    <row r="48" xml:space="preserve">
      <c r="A48">
        <v>40389</v>
      </c>
      <c r="B48" t="str">
        <v>Teve Interesse</v>
      </c>
      <c r="C48" xml:space="preserve">
        <f xml:space="preserve">IF(D48="Cristielen",1211,
IF(D48="Jenifer",1575,
IF(D48="Tatiana Lacerda",9886,
IF(D48="Andreia Lopes",1504,
IF(D48="Arlecio Lindemann",1328,
IF(D48="Dionis Jose",1525,
IF(D48="Douglas Montagna",1581,
IF(D48="Elisiane Lambrechtt",1234,
IF(D48="Gislaine Muller",9937,
IF(D48="Henrique Godinho",1518,
IF(D48="Rose - Nelvara",9863,
IF(D48="Viviane Botelho",9872,
IF(D48="Ariane Quebao",1596,
IF(D48="Ariane",1596,
IF(D48="Camila Arruda",1464,
IF(D48="Camila",1464,
IF(D48="Jairo Costa",9911,
IF(D48="Moacir Lopes",1278,
IF(D48="Nei Xavier",1150,
IF(D48="Raquel Ricardo",1217,
IF(D48="Timoteo Hellwing",9839,
IF(D48="Volnei Klug",1335,
IF(D48="Natalia",1429,
IF(D48="Wagner da Silva",1623,
IF(D48="Marcelo de Souza",9808,
IF(D48="Fernando Moura",1450,
IF(D48="Paulo Renato",6127,
IF(D48="Vinicios da Luz",9905,
IF(D48="Bruno Santos",1273,
IF(D48="Mauricio Keenan",1500,
IF(D48="Juliano Lause",1544,
IF(D48="Guilherme Juhliano",1522,
IF(D48="Timoteo",9839,
IF(D48="Carlos Alberto",1615,
IF(D48="Anaina Schmidt",1503,
IF(D48="Rose - Nelvaira",9863,
IF(D48="Henrik Von Muhlen",1280,
IF(D48="Luiz Olavo",1607,
IF(D48="Sidimar Luis",1325,
IF(D48="Thiago Fraga",1604,""))))))))))))))))))))))))))))))))))))))))</f>
        <v>1464</v>
      </c>
      <c r="D48" t="str">
        <v>Camila Arruda</v>
      </c>
      <c r="E48" t="str">
        <v>Televendas</v>
      </c>
      <c r="F48" t="str">
        <v>Sul</v>
      </c>
      <c r="G48" t="str">
        <v>Franciele</v>
      </c>
      <c r="H48" t="str">
        <v>Voucher</v>
      </c>
      <c r="I48">
        <v>46204</v>
      </c>
    </row>
    <row r="49" xml:space="preserve">
      <c r="A49">
        <v>34108</v>
      </c>
      <c r="B49" t="str">
        <v>Teve Interesse</v>
      </c>
      <c r="C49" xml:space="preserve">
        <f xml:space="preserve">IF(D49="Cristielen",1211,
IF(D49="Jenifer",1575,
IF(D49="Tatiana Lacerda",9886,
IF(D49="Andreia Lopes",1504,
IF(D49="Arlecio Lindemann",1328,
IF(D49="Dionis Jose",1525,
IF(D49="Douglas Montagna",1581,
IF(D49="Elisiane Lambrechtt",1234,
IF(D49="Gislaine Muller",9937,
IF(D49="Henrique Godinho",1518,
IF(D49="Rose - Nelvara",9863,
IF(D49="Viviane Botelho",9872,
IF(D49="Ariane Quebao",1596,
IF(D49="Ariane",1596,
IF(D49="Camila Arruda",1464,
IF(D49="Camila",1464,
IF(D49="Jairo Costa",9911,
IF(D49="Moacir Lopes",1278,
IF(D49="Nei Xavier",1150,
IF(D49="Raquel Ricardo",1217,
IF(D49="Timoteo Hellwing",9839,
IF(D49="Volnei Klug",1335,
IF(D49="Natalia",1429,
IF(D49="Wagner da Silva",1623,
IF(D49="Marcelo de Souza",9808,
IF(D49="Fernando Moura",1450,
IF(D49="Paulo Renato",6127,
IF(D49="Vinicios da Luz",9905,
IF(D49="Bruno Santos",1273,
IF(D49="Mauricio Keenan",1500,
IF(D49="Juliano Lause",1544,
IF(D49="Guilherme Juhliano",1522,
IF(D49="Timoteo",9839,
IF(D49="Carlos Alberto",1615,
IF(D49="Anaina Schmidt",1503,
IF(D49="Rose - Nelvaira",9863,
IF(D49="Henrik Von Muhlen",1280,
IF(D49="Luiz Olavo",1607,
IF(D49="Sidimar Luis",1325,
IF(D49="Thiago Fraga",1604,""))))))))))))))))))))))))))))))))))))))))</f>
        <v>1211</v>
      </c>
      <c r="D49" t="str">
        <v>Cristielen</v>
      </c>
      <c r="E49" t="str">
        <v>Televendas</v>
      </c>
      <c r="F49" t="str">
        <v>Litoral</v>
      </c>
      <c r="G49" t="str">
        <v>Franciele</v>
      </c>
      <c r="H49" t="str">
        <v>Voucher</v>
      </c>
      <c r="I49">
        <v>46204</v>
      </c>
    </row>
    <row r="50" xml:space="preserve">
      <c r="A50">
        <v>29214</v>
      </c>
      <c r="B50" t="str">
        <v>Teve Interesse</v>
      </c>
      <c r="C50" xml:space="preserve">
        <f xml:space="preserve">IF(D50="Cristielen",1211,
IF(D50="Jenifer",1575,
IF(D50="Tatiana Lacerda",9886,
IF(D50="Andreia Lopes",1504,
IF(D50="Arlecio Lindemann",1328,
IF(D50="Dionis Jose",1525,
IF(D50="Douglas Montagna",1581,
IF(D50="Elisiane Lambrechtt",1234,
IF(D50="Gislaine Muller",9937,
IF(D50="Henrique Godinho",1518,
IF(D50="Rose - Nelvara",9863,
IF(D50="Viviane Botelho",9872,
IF(D50="Ariane Quebao",1596,
IF(D50="Ariane",1596,
IF(D50="Camila Arruda",1464,
IF(D50="Camila",1464,
IF(D50="Jairo Costa",9911,
IF(D50="Moacir Lopes",1278,
IF(D50="Nei Xavier",1150,
IF(D50="Raquel Ricardo",1217,
IF(D50="Timoteo Hellwing",9839,
IF(D50="Volnei Klug",1335,
IF(D50="Natalia",1429,
IF(D50="Wagner da Silva",1623,
IF(D50="Marcelo de Souza",9808,
IF(D50="Fernando Moura",1450,
IF(D50="Paulo Renato",6127,
IF(D50="Vinicios da Luz",9905,
IF(D50="Bruno Santos",1273,
IF(D50="Mauricio Keenan",1500,
IF(D50="Juliano Lause",1544,
IF(D50="Guilherme Juhliano",1522,
IF(D50="Timoteo",9839,
IF(D50="Carlos Alberto",1615,
IF(D50="Anaina Schmidt",1503,
IF(D50="Rose - Nelvaira",9863,
IF(D50="Henrik Von Muhlen",1280,
IF(D50="Luiz Olavo",1607,
IF(D50="Sidimar Luis",1325,
IF(D50="Thiago Fraga",1604,""))))))))))))))))))))))))))))))))))))))))</f>
        <v>1211</v>
      </c>
      <c r="D50" t="str">
        <v>Cristielen</v>
      </c>
      <c r="E50" t="str">
        <v>Televendas</v>
      </c>
      <c r="F50" t="str">
        <v>Litoral</v>
      </c>
      <c r="G50" t="str">
        <v>Franciele</v>
      </c>
      <c r="H50" t="str">
        <v>Voucher</v>
      </c>
      <c r="I50">
        <v>46204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50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R39"/>
  <sheetViews>
    <sheetView workbookViewId="0" rightToLeft="0"/>
  </sheetViews>
  <sheetData>
    <row r="1">
      <c r="A1" t="str">
        <v>CAMPANHA VOLTE A COMPRAR | 20-44 DIAS | REPRESENTANTES</v>
      </c>
    </row>
    <row r="4">
      <c r="A4" t="str">
        <v>TEXTO DE DISPARO</v>
      </c>
    </row>
    <row r="5">
      <c r="A5" t="str">
        <v xml:space="preserve">Olá! Temos uma oferta exclusiva para o seu próximo pedido na MAR Food Service. Responda "QUERO" para que um de nossos representantes apresente as condições disponíveis para você. </v>
      </c>
    </row>
    <row r="8">
      <c r="A8" t="str">
        <v>PÚBLICO DE DISPARO</v>
      </c>
    </row>
    <row r="9" xml:space="preserve">
      <c r="A9" t="str" xml:space="preserve">
        <v xml:space="preserve">Todos_x000d_
20 à 44 dias sem compra</v>
      </c>
    </row>
    <row r="12">
      <c r="A12" t="str">
        <v>RESUMO DE DISPARO</v>
      </c>
    </row>
    <row r="13" xml:space="preserve">
      <c r="A13" t="str" xml:space="preserve">
        <v xml:space="preserve">963 contatos totais_x000d_
406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39476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1522</v>
      </c>
      <c r="D18" t="str">
        <v>Guilherme Juhliano</v>
      </c>
      <c r="E18" t="str">
        <v>Externo</v>
      </c>
      <c r="F18" t="str">
        <v>Grande POA</v>
      </c>
      <c r="G18" t="str">
        <v>Juliano</v>
      </c>
      <c r="H18" t="str">
        <v>Diversos</v>
      </c>
      <c r="I18">
        <v>46205</v>
      </c>
      <c r="J18" t="str">
        <v>Não</v>
      </c>
    </row>
    <row r="19" xml:space="preserve">
      <c r="A19">
        <v>33607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9808</v>
      </c>
      <c r="D19" t="str">
        <v>Marcelo de Souza</v>
      </c>
      <c r="E19" t="str">
        <v>Externo</v>
      </c>
      <c r="F19" t="str">
        <v>Sul</v>
      </c>
      <c r="G19" t="str">
        <v>Moizes</v>
      </c>
      <c r="H19" t="str">
        <v>Diversos</v>
      </c>
      <c r="I19">
        <v>46205</v>
      </c>
      <c r="J19" t="str">
        <v>Não</v>
      </c>
    </row>
    <row r="20" xml:space="preserve">
      <c r="A20">
        <v>44225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9839</v>
      </c>
      <c r="D20" t="str">
        <v>Timoteo</v>
      </c>
      <c r="E20" t="str">
        <v>Externo</v>
      </c>
      <c r="F20" t="str">
        <v>Sul</v>
      </c>
      <c r="G20" t="str">
        <v>Moizes</v>
      </c>
      <c r="H20" t="str">
        <v>Diversos</v>
      </c>
      <c r="I20">
        <v>46205</v>
      </c>
      <c r="J20" t="str">
        <v>Não</v>
      </c>
    </row>
    <row r="21" xml:space="preserve">
      <c r="A21">
        <v>35533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6127</v>
      </c>
      <c r="D21" t="str">
        <v>Paulo Renato</v>
      </c>
      <c r="E21" t="str">
        <v>Externo</v>
      </c>
      <c r="F21" t="str">
        <v>Litoral</v>
      </c>
      <c r="G21" t="str">
        <v>Muriel</v>
      </c>
      <c r="H21" t="str">
        <v>Diversos</v>
      </c>
      <c r="I21">
        <v>46205</v>
      </c>
      <c r="J21" t="str">
        <v>Não</v>
      </c>
    </row>
    <row r="22" xml:space="preserve">
      <c r="A22">
        <v>45710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1150</v>
      </c>
      <c r="D22" t="str">
        <v>Nei Xavier</v>
      </c>
      <c r="E22" t="str">
        <v>Externo</v>
      </c>
      <c r="F22" t="str">
        <v>Grande POA</v>
      </c>
      <c r="G22" t="str">
        <v>Juliano</v>
      </c>
      <c r="H22" t="str">
        <v>Diversos</v>
      </c>
      <c r="I22">
        <v>46205</v>
      </c>
      <c r="J22" t="str">
        <v>Não</v>
      </c>
    </row>
    <row r="23" xml:space="preserve">
      <c r="A23">
        <v>41349</v>
      </c>
      <c r="B23" t="str">
        <v>Teve Interesse</v>
      </c>
      <c r="C23" xml:space="preserve">
        <f xml:space="preserve">IF(D23="Cristielen",1211,
IF(D23="Jenifer",1575,
IF(D23="Tatiana Lacerda",9886,
IF(D23="Andreia Lopes",1504,
IF(D23="Arlecio Lindemann",1328,
IF(D23="Dionis Jose",1525,
IF(D23="Douglas Montagna",1581,
IF(D23="Elisiane Lambrechtt",1234,
IF(D23="Gislaine Muller",9937,
IF(D23="Henrique Godinho",1518,
IF(D23="Rose - Nelvara",9863,
IF(D23="Viviane Botelho",9872,
IF(D23="Ariane Quebao",1596,
IF(D23="Ariane",1596,
IF(D23="Camila Arruda",1464,
IF(D23="Camila",1464,
IF(D23="Jairo Costa",9911,
IF(D23="Moacir Lopes",1278,
IF(D23="Nei Xavier",1150,
IF(D23="Raquel Ricardo",1217,
IF(D23="Timoteo Hellwing",9839,
IF(D23="Volnei Klug",1335,
IF(D23="Natalia",1429,
IF(D23="Wagner da Silva",1623,
IF(D23="Marcelo de Souza",9808,
IF(D23="Fernando Moura",1450,
IF(D23="Paulo Renato",6127,
IF(D23="Vinicios da Luz",9905,
IF(D23="Bruno Santos",1273,
IF(D23="Mauricio Keenan",1500,
IF(D23="Juliano Lause",1544,
IF(D23="Guilherme Juhliano",1522,
IF(D23="Timoteo",9839,
IF(D23="Carlos Alberto",1615,
IF(D23="Anaina Schmidt",1503,
IF(D23="Rose - Nelvaira",9863,
IF(D23="Henrik Von Muhlen",1280,
IF(D23="Luiz Olavo",1607,
IF(D23="Sidimar Luis",1325,
IF(D23="Thiago Fraga",1604,""))))))))))))))))))))))))))))))))))))))))</f>
        <v>1273</v>
      </c>
      <c r="D23" t="str">
        <v>Bruno Santos</v>
      </c>
      <c r="E23" t="str">
        <v>Externo</v>
      </c>
      <c r="F23" t="str">
        <v>Litoral</v>
      </c>
      <c r="G23" t="str">
        <v>Muriel</v>
      </c>
      <c r="H23" t="str">
        <v>Diversos</v>
      </c>
      <c r="I23">
        <v>46205</v>
      </c>
      <c r="J23" t="str">
        <v>Não</v>
      </c>
    </row>
    <row r="24" xml:space="preserve">
      <c r="A24">
        <v>39470</v>
      </c>
      <c r="B24" t="str">
        <v>Teve Interesse</v>
      </c>
      <c r="C24" xml:space="preserve">
        <f xml:space="preserve">IF(D24="Cristielen",1211,
IF(D24="Jenifer",1575,
IF(D24="Tatiana Lacerda",9886,
IF(D24="Andreia Lopes",1504,
IF(D24="Arlecio Lindemann",1328,
IF(D24="Dionis Jose",1525,
IF(D24="Douglas Montagna",1581,
IF(D24="Elisiane Lambrechtt",1234,
IF(D24="Gislaine Muller",9937,
IF(D24="Henrique Godinho",1518,
IF(D24="Rose - Nelvara",9863,
IF(D24="Viviane Botelho",9872,
IF(D24="Ariane Quebao",1596,
IF(D24="Ariane",1596,
IF(D24="Camila Arruda",1464,
IF(D24="Camila",1464,
IF(D24="Jairo Costa",9911,
IF(D24="Moacir Lopes",1278,
IF(D24="Nei Xavier",1150,
IF(D24="Raquel Ricardo",1217,
IF(D24="Timoteo Hellwing",9839,
IF(D24="Volnei Klug",1335,
IF(D24="Natalia",1429,
IF(D24="Wagner da Silva",1623,
IF(D24="Marcelo de Souza",9808,
IF(D24="Fernando Moura",1450,
IF(D24="Paulo Renato",6127,
IF(D24="Vinicios da Luz",9905,
IF(D24="Bruno Santos",1273,
IF(D24="Mauricio Keenan",1500,
IF(D24="Juliano Lause",1544,
IF(D24="Guilherme Juhliano",1522,
IF(D24="Timoteo",9839,
IF(D24="Carlos Alberto",1615,
IF(D24="Anaina Schmidt",1503,
IF(D24="Rose - Nelvaira",9863,
IF(D24="Henrik Von Muhlen",1280,
IF(D24="Luiz Olavo",1607,
IF(D24="Sidimar Luis",1325,
IF(D24="Thiago Fraga",1604,""))))))))))))))))))))))))))))))))))))))))</f>
        <v>9808</v>
      </c>
      <c r="D24" t="str">
        <v>Marcelo de Souza</v>
      </c>
      <c r="E24" t="str">
        <v>Externo</v>
      </c>
      <c r="F24" t="str">
        <v>Sul</v>
      </c>
      <c r="G24" t="str">
        <v>Moizes</v>
      </c>
      <c r="H24" t="str">
        <v>Diversos</v>
      </c>
      <c r="I24">
        <v>46205</v>
      </c>
      <c r="J24" t="str">
        <v>Não</v>
      </c>
    </row>
    <row r="25" xml:space="preserve">
      <c r="A25">
        <v>45591</v>
      </c>
      <c r="B25" t="str">
        <v>Teve Interesse</v>
      </c>
      <c r="C25" xml:space="preserve">
        <f xml:space="preserve">IF(D25="Cristielen",1211,
IF(D25="Jenifer",1575,
IF(D25="Tatiana Lacerda",9886,
IF(D25="Andreia Lopes",1504,
IF(D25="Arlecio Lindemann",1328,
IF(D25="Dionis Jose",1525,
IF(D25="Douglas Montagna",1581,
IF(D25="Elisiane Lambrechtt",1234,
IF(D25="Gislaine Muller",9937,
IF(D25="Henrique Godinho",1518,
IF(D25="Rose - Nelvara",9863,
IF(D25="Viviane Botelho",9872,
IF(D25="Ariane Quebao",1596,
IF(D25="Ariane",1596,
IF(D25="Camila Arruda",1464,
IF(D25="Camila",1464,
IF(D25="Jairo Costa",9911,
IF(D25="Moacir Lopes",1278,
IF(D25="Nei Xavier",1150,
IF(D25="Raquel Ricardo",1217,
IF(D25="Timoteo Hellwing",9839,
IF(D25="Volnei Klug",1335,
IF(D25="Natalia",1429,
IF(D25="Wagner da Silva",1623,
IF(D25="Marcelo de Souza",9808,
IF(D25="Fernando Moura",1450,
IF(D25="Paulo Renato",6127,
IF(D25="Vinicios da Luz",9905,
IF(D25="Bruno Santos",1273,
IF(D25="Mauricio Keenan",1500,
IF(D25="Juliano Lause",1544,
IF(D25="Guilherme Juhliano",1522,
IF(D25="Timoteo",9839,
IF(D25="Carlos Alberto",1615,
IF(D25="Anaina Schmidt",1503,
IF(D25="Rose - Nelvaira",9863,
IF(D25="Henrik Von Muhlen",1280,
IF(D25="Luiz Olavo",1607,
IF(D25="Sidimar Luis",1325,
IF(D25="Thiago Fraga",1604,""))))))))))))))))))))))))))))))))))))))))</f>
        <v>1615</v>
      </c>
      <c r="D25" t="str">
        <v>Carlos Alberto</v>
      </c>
      <c r="E25" t="str">
        <v>Externo</v>
      </c>
      <c r="F25" t="str">
        <v>Sul</v>
      </c>
      <c r="G25" t="str">
        <v>Moizes</v>
      </c>
      <c r="H25" t="str">
        <v>Diversos</v>
      </c>
      <c r="I25">
        <v>46205</v>
      </c>
      <c r="J25" t="str">
        <v>Não</v>
      </c>
    </row>
    <row r="26" xml:space="preserve">
      <c r="A26">
        <v>40197</v>
      </c>
      <c r="B26" t="str">
        <v>Teve Interesse</v>
      </c>
      <c r="C26" xml:space="preserve">
        <f xml:space="preserve">IF(D26="Cristielen",1211,
IF(D26="Jenifer",1575,
IF(D26="Tatiana Lacerda",9886,
IF(D26="Andreia Lopes",1504,
IF(D26="Arlecio Lindemann",1328,
IF(D26="Dionis Jose",1525,
IF(D26="Douglas Montagna",1581,
IF(D26="Elisiane Lambrechtt",1234,
IF(D26="Gislaine Muller",9937,
IF(D26="Henrique Godinho",1518,
IF(D26="Rose - Nelvara",9863,
IF(D26="Viviane Botelho",9872,
IF(D26="Ariane Quebao",1596,
IF(D26="Ariane",1596,
IF(D26="Camila Arruda",1464,
IF(D26="Camila",1464,
IF(D26="Jairo Costa",9911,
IF(D26="Moacir Lopes",1278,
IF(D26="Nei Xavier",1150,
IF(D26="Raquel Ricardo",1217,
IF(D26="Timoteo Hellwing",9839,
IF(D26="Volnei Klug",1335,
IF(D26="Natalia",1429,
IF(D26="Wagner da Silva",1623,
IF(D26="Marcelo de Souza",9808,
IF(D26="Fernando Moura",1450,
IF(D26="Paulo Renato",6127,
IF(D26="Vinicios da Luz",9905,
IF(D26="Bruno Santos",1273,
IF(D26="Mauricio Keenan",1500,
IF(D26="Juliano Lause",1544,
IF(D26="Guilherme Juhliano",1522,
IF(D26="Timoteo",9839,
IF(D26="Carlos Alberto",1615,
IF(D26="Anaina Schmidt",1503,
IF(D26="Rose - Nelvaira",9863,
IF(D26="Henrik Von Muhlen",1280,
IF(D26="Luiz Olavo",1607,
IF(D26="Sidimar Luis",1325,
IF(D26="Thiago Fraga",1604,""))))))))))))))))))))))))))))))))))))))))</f>
        <v>1503</v>
      </c>
      <c r="D26" t="str">
        <v>Anaina Schmidt</v>
      </c>
      <c r="E26" t="str">
        <v>Externo</v>
      </c>
      <c r="F26" t="str">
        <v>Sul</v>
      </c>
      <c r="G26" t="str">
        <v>Moizes</v>
      </c>
      <c r="H26" t="str">
        <v>Diversos</v>
      </c>
      <c r="I26">
        <v>46205</v>
      </c>
      <c r="J26" t="str">
        <v>Não</v>
      </c>
    </row>
    <row r="27" xml:space="preserve">
      <c r="A27">
        <v>43435</v>
      </c>
      <c r="B27" t="str">
        <v>Teve Interesse</v>
      </c>
      <c r="C27" xml:space="preserve">
        <f xml:space="preserve">IF(D27="Cristielen",1211,
IF(D27="Jenifer",1575,
IF(D27="Tatiana Lacerda",9886,
IF(D27="Andreia Lopes",1504,
IF(D27="Arlecio Lindemann",1328,
IF(D27="Dionis Jose",1525,
IF(D27="Douglas Montagna",1581,
IF(D27="Elisiane Lambrechtt",1234,
IF(D27="Gislaine Muller",9937,
IF(D27="Henrique Godinho",1518,
IF(D27="Rose - Nelvara",9863,
IF(D27="Viviane Botelho",9872,
IF(D27="Ariane Quebao",1596,
IF(D27="Ariane",1596,
IF(D27="Camila Arruda",1464,
IF(D27="Camila",1464,
IF(D27="Jairo Costa",9911,
IF(D27="Moacir Lopes",1278,
IF(D27="Nei Xavier",1150,
IF(D27="Raquel Ricardo",1217,
IF(D27="Timoteo Hellwing",9839,
IF(D27="Volnei Klug",1335,
IF(D27="Natalia",1429,
IF(D27="Wagner da Silva",1623,
IF(D27="Marcelo de Souza",9808,
IF(D27="Fernando Moura",1450,
IF(D27="Paulo Renato",6127,
IF(D27="Vinicios da Luz",9905,
IF(D27="Bruno Santos",1273,
IF(D27="Mauricio Keenan",1500,
IF(D27="Juliano Lause",1544,
IF(D27="Guilherme Juhliano",1522,
IF(D27="Timoteo",9839,
IF(D27="Carlos Alberto",1615,
IF(D27="Anaina Schmidt",1503,
IF(D27="Rose - Nelvaira",9863,
IF(D27="Henrik Von Muhlen",1280,
IF(D27="Luiz Olavo",1607,
IF(D27="Sidimar Luis",1325,
IF(D27="Thiago Fraga",1604,""))))))))))))))))))))))))))))))))))))))))</f>
        <v>1150</v>
      </c>
      <c r="D27" t="str">
        <v>Nei Xavier</v>
      </c>
      <c r="E27" t="str">
        <v>Externo</v>
      </c>
      <c r="F27" t="str">
        <v>Grande POA</v>
      </c>
      <c r="G27" t="str">
        <v>Juliano</v>
      </c>
      <c r="H27" t="str">
        <v>Diversos</v>
      </c>
      <c r="I27">
        <v>46205</v>
      </c>
      <c r="J27" t="str">
        <v>Não</v>
      </c>
    </row>
    <row r="28" xml:space="preserve">
      <c r="A28">
        <v>42173</v>
      </c>
      <c r="B28" t="str">
        <v>Teve Interesse</v>
      </c>
      <c r="C28" xml:space="preserve">
        <f xml:space="preserve">IF(D28="Cristielen",1211,
IF(D28="Jenifer",1575,
IF(D28="Tatiana Lacerda",9886,
IF(D28="Andreia Lopes",1504,
IF(D28="Arlecio Lindemann",1328,
IF(D28="Dionis Jose",1525,
IF(D28="Douglas Montagna",1581,
IF(D28="Elisiane Lambrechtt",1234,
IF(D28="Gislaine Muller",9937,
IF(D28="Henrique Godinho",1518,
IF(D28="Rose - Nelvara",9863,
IF(D28="Viviane Botelho",9872,
IF(D28="Ariane Quebao",1596,
IF(D28="Ariane",1596,
IF(D28="Camila Arruda",1464,
IF(D28="Camila",1464,
IF(D28="Jairo Costa",9911,
IF(D28="Moacir Lopes",1278,
IF(D28="Nei Xavier",1150,
IF(D28="Raquel Ricardo",1217,
IF(D28="Timoteo Hellwing",9839,
IF(D28="Volnei Klug",1335,
IF(D28="Natalia",1429,
IF(D28="Wagner da Silva",1623,
IF(D28="Marcelo de Souza",9808,
IF(D28="Fernando Moura",1450,
IF(D28="Paulo Renato",6127,
IF(D28="Vinicios da Luz",9905,
IF(D28="Bruno Santos",1273,
IF(D28="Mauricio Keenan",1500,
IF(D28="Juliano Lause",1544,
IF(D28="Guilherme Juhliano",1522,
IF(D28="Timoteo",9839,
IF(D28="Carlos Alberto",1615,
IF(D28="Anaina Schmidt",1503,
IF(D28="Rose - Nelvaira",9863,
IF(D28="Henrik Von Muhlen",1280,
IF(D28="Luiz Olavo",1607,
IF(D28="Sidimar Luis",1325,
IF(D28="Thiago Fraga",1604,""))))))))))))))))))))))))))))))))))))))))</f>
        <v>9863</v>
      </c>
      <c r="D28" t="str">
        <v>Rose - Nelvaira</v>
      </c>
      <c r="E28" t="str">
        <v>Externo</v>
      </c>
      <c r="F28" t="str">
        <v>Sul</v>
      </c>
      <c r="G28" t="str">
        <v>Moizes</v>
      </c>
      <c r="H28" t="str">
        <v>Diversos</v>
      </c>
      <c r="I28">
        <v>46205</v>
      </c>
      <c r="J28" t="str">
        <v>Não</v>
      </c>
    </row>
    <row r="29" xml:space="preserve">
      <c r="A29">
        <v>19848</v>
      </c>
      <c r="B29" t="str">
        <v>Teve Interesse</v>
      </c>
      <c r="C29" xml:space="preserve">
        <f xml:space="preserve">IF(D29="Cristielen",1211,
IF(D29="Jenifer",1575,
IF(D29="Tatiana Lacerda",9886,
IF(D29="Andreia Lopes",1504,
IF(D29="Arlecio Lindemann",1328,
IF(D29="Dionis Jose",1525,
IF(D29="Douglas Montagna",1581,
IF(D29="Elisiane Lambrechtt",1234,
IF(D29="Gislaine Muller",9937,
IF(D29="Henrique Godinho",1518,
IF(D29="Rose - Nelvara",9863,
IF(D29="Viviane Botelho",9872,
IF(D29="Ariane Quebao",1596,
IF(D29="Ariane",1596,
IF(D29="Camila Arruda",1464,
IF(D29="Camila",1464,
IF(D29="Jairo Costa",9911,
IF(D29="Moacir Lopes",1278,
IF(D29="Nei Xavier",1150,
IF(D29="Raquel Ricardo",1217,
IF(D29="Timoteo Hellwing",9839,
IF(D29="Volnei Klug",1335,
IF(D29="Natalia",1429,
IF(D29="Wagner da Silva",1623,
IF(D29="Marcelo de Souza",9808,
IF(D29="Fernando Moura",1450,
IF(D29="Paulo Renato",6127,
IF(D29="Vinicios da Luz",9905,
IF(D29="Bruno Santos",1273,
IF(D29="Mauricio Keenan",1500,
IF(D29="Juliano Lause",1544,
IF(D29="Guilherme Juhliano",1522,
IF(D29="Timoteo",9839,
IF(D29="Carlos Alberto",1615,
IF(D29="Anaina Schmidt",1503,
IF(D29="Rose - Nelvaira",9863,
IF(D29="Henrik Von Muhlen",1280,
IF(D29="Luiz Olavo",1607,
IF(D29="Sidimar Luis",1325,
IF(D29="Thiago Fraga",1604,""))))))))))))))))))))))))))))))))))))))))</f>
        <v>1280</v>
      </c>
      <c r="D29" t="str">
        <v>Henrik Von Muhlen</v>
      </c>
      <c r="E29" t="str">
        <v>Externo</v>
      </c>
      <c r="F29" t="str">
        <v>Serra</v>
      </c>
      <c r="G29" t="str">
        <v>Jackson</v>
      </c>
      <c r="H29" t="str">
        <v>Diversos</v>
      </c>
      <c r="I29">
        <v>46205</v>
      </c>
      <c r="J29" t="str">
        <v>Não</v>
      </c>
    </row>
    <row r="30" xml:space="preserve">
      <c r="A30">
        <v>40050</v>
      </c>
      <c r="B30" t="str">
        <v>Teve Interesse</v>
      </c>
      <c r="C30" xml:space="preserve">
        <f xml:space="preserve">IF(D30="Cristielen",1211,
IF(D30="Jenifer",1575,
IF(D30="Tatiana Lacerda",9886,
IF(D30="Andreia Lopes",1504,
IF(D30="Arlecio Lindemann",1328,
IF(D30="Dionis Jose",1525,
IF(D30="Douglas Montagna",1581,
IF(D30="Elisiane Lambrechtt",1234,
IF(D30="Gislaine Muller",9937,
IF(D30="Henrique Godinho",1518,
IF(D30="Rose - Nelvara",9863,
IF(D30="Viviane Botelho",9872,
IF(D30="Ariane Quebao",1596,
IF(D30="Ariane",1596,
IF(D30="Camila Arruda",1464,
IF(D30="Camila",1464,
IF(D30="Jairo Costa",9911,
IF(D30="Moacir Lopes",1278,
IF(D30="Nei Xavier",1150,
IF(D30="Raquel Ricardo",1217,
IF(D30="Timoteo Hellwing",9839,
IF(D30="Volnei Klug",1335,
IF(D30="Natalia",1429,
IF(D30="Wagner da Silva",1623,
IF(D30="Marcelo de Souza",9808,
IF(D30="Fernando Moura",1450,
IF(D30="Paulo Renato",6127,
IF(D30="Vinicios da Luz",9905,
IF(D30="Bruno Santos",1273,
IF(D30="Mauricio Keenan",1500,
IF(D30="Juliano Lause",1544,
IF(D30="Guilherme Juhliano",1522,
IF(D30="Timoteo",9839,
IF(D30="Carlos Alberto",1615,
IF(D30="Anaina Schmidt",1503,
IF(D30="Rose - Nelvaira",9863,
IF(D30="Henrik Von Muhlen",1280,
IF(D30="Luiz Olavo",1607,
IF(D30="Sidimar Luis",1325,
IF(D30="Thiago Fraga",1604,""))))))))))))))))))))))))))))))))))))))))</f>
        <v>1607</v>
      </c>
      <c r="D30" t="str">
        <v>Luiz Olavo</v>
      </c>
      <c r="E30" t="str">
        <v>Externo</v>
      </c>
      <c r="F30" t="str">
        <v>Litoral</v>
      </c>
      <c r="G30" t="str">
        <v>Muriel</v>
      </c>
      <c r="H30" t="str">
        <v>Diversos</v>
      </c>
      <c r="I30">
        <v>46205</v>
      </c>
      <c r="J30" t="str">
        <v>Não</v>
      </c>
    </row>
    <row r="31" xml:space="preserve">
      <c r="A31">
        <v>31399</v>
      </c>
      <c r="B31" t="str">
        <v>Teve Interesse</v>
      </c>
      <c r="C31" t="str" xml:space="preserve">
        <f xml:space="preserve">IF(D31="Cristielen",1211,
IF(D31="Jenifer",1575,
IF(D31="Tatiana Lacerda",9886,
IF(D31="Andreia Lopes",1504,
IF(D31="Arlecio Lindemann",1328,
IF(D31="Dionis Jose",1525,
IF(D31="Douglas Montagna",1581,
IF(D31="Elisiane Lambrechtt",1234,
IF(D31="Gislaine Muller",9937,
IF(D31="Henrique Godinho",1518,
IF(D31="Rose - Nelvara",9863,
IF(D31="Viviane Botelho",9872,
IF(D31="Ariane Quebao",1596,
IF(D31="Ariane",1596,
IF(D31="Camila Arruda",1464,
IF(D31="Camila",1464,
IF(D31="Jairo Costa",9911,
IF(D31="Moacir Lopes",1278,
IF(D31="Nei Xavier",1150,
IF(D31="Raquel Ricardo",1217,
IF(D31="Timoteo Hellwing",9839,
IF(D31="Volnei Klug",1335,
IF(D31="Natalia",1429,
IF(D31="Wagner da Silva",1623,
IF(D31="Marcelo de Souza",9808,
IF(D31="Fernando Moura",1450,
IF(D31="Paulo Renato",6127,
IF(D31="Vinicios da Luz",9905,
IF(D31="Bruno Santos",1273,
IF(D31="Mauricio Keenan",1500,
IF(D31="Juliano Lause",1544,
IF(D31="Guilherme Juhliano",1522,
IF(D31="Timoteo",9839,
IF(D31="Carlos Alberto",1615,
IF(D31="Anaina Schmidt",1503,
IF(D31="Rose - Nelvaira",9863,
IF(D31="Henrik Von Muhlen",1280,
IF(D31="Luiz Olavo",1607,
IF(D31="Sidimar Luis",1325,
IF(D31="Thiago Fraga",1604,""))))))))))))))))))))))))))))))))))))))))</f>
        <v/>
      </c>
      <c r="D31" t="str">
        <v>Edson Luiz</v>
      </c>
      <c r="E31" t="str">
        <v>Externo</v>
      </c>
      <c r="F31" t="str">
        <v>Sul</v>
      </c>
      <c r="G31" t="str">
        <v>Moizes</v>
      </c>
      <c r="H31" t="str">
        <v>Diversos</v>
      </c>
      <c r="I31">
        <v>46205</v>
      </c>
    </row>
    <row r="32" xml:space="preserve">
      <c r="A32">
        <v>44220</v>
      </c>
      <c r="B32" t="str">
        <v>Teve Interesse</v>
      </c>
      <c r="C32" xml:space="preserve">
        <f xml:space="preserve">IF(D32="Cristielen",1211,
IF(D32="Jenifer",1575,
IF(D32="Tatiana Lacerda",9886,
IF(D32="Andreia Lopes",1504,
IF(D32="Arlecio Lindemann",1328,
IF(D32="Dionis Jose",1525,
IF(D32="Douglas Montagna",1581,
IF(D32="Elisiane Lambrechtt",1234,
IF(D32="Gislaine Muller",9937,
IF(D32="Henrique Godinho",1518,
IF(D32="Rose - Nelvara",9863,
IF(D32="Viviane Botelho",9872,
IF(D32="Ariane Quebao",1596,
IF(D32="Ariane",1596,
IF(D32="Camila Arruda",1464,
IF(D32="Camila",1464,
IF(D32="Jairo Costa",9911,
IF(D32="Moacir Lopes",1278,
IF(D32="Nei Xavier",1150,
IF(D32="Raquel Ricardo",1217,
IF(D32="Timoteo Hellwing",9839,
IF(D32="Volnei Klug",1335,
IF(D32="Natalia",1429,
IF(D32="Wagner da Silva",1623,
IF(D32="Marcelo de Souza",9808,
IF(D32="Fernando Moura",1450,
IF(D32="Paulo Renato",6127,
IF(D32="Vinicios da Luz",9905,
IF(D32="Bruno Santos",1273,
IF(D32="Mauricio Keenan",1500,
IF(D32="Juliano Lause",1544,
IF(D32="Guilherme Juhliano",1522,
IF(D32="Timoteo",9839,
IF(D32="Carlos Alberto",1615,
IF(D32="Anaina Schmidt",1503,
IF(D32="Rose - Nelvaira",9863,
IF(D32="Henrik Von Muhlen",1280,
IF(D32="Luiz Olavo",1607,
IF(D32="Sidimar Luis",1325,
IF(D32="Thiago Fraga",1604,""))))))))))))))))))))))))))))))))))))))))</f>
        <v>1596</v>
      </c>
      <c r="D32" t="str">
        <v>Ariane Quebao</v>
      </c>
      <c r="E32" t="str">
        <v>Televendas</v>
      </c>
      <c r="F32" t="str">
        <v>Grande POA</v>
      </c>
      <c r="G32" t="str">
        <v>Franciele</v>
      </c>
      <c r="H32" t="str">
        <v>Diversos</v>
      </c>
      <c r="I32">
        <v>46205</v>
      </c>
    </row>
    <row r="33" xml:space="preserve">
      <c r="A33">
        <v>22457</v>
      </c>
      <c r="B33" t="str">
        <v>Teve Interesse</v>
      </c>
      <c r="C33" t="str" xml:space="preserve">
        <f xml:space="preserve">IF(D33="Cristielen",1211,
IF(D33="Jenifer",1575,
IF(D33="Tatiana Lacerda",9886,
IF(D33="Andreia Lopes",1504,
IF(D33="Arlecio Lindemann",1328,
IF(D33="Dionis Jose",1525,
IF(D33="Douglas Montagna",1581,
IF(D33="Elisiane Lambrechtt",1234,
IF(D33="Gislaine Muller",9937,
IF(D33="Henrique Godinho",1518,
IF(D33="Rose - Nelvara",9863,
IF(D33="Viviane Botelho",9872,
IF(D33="Ariane Quebao",1596,
IF(D33="Ariane",1596,
IF(D33="Camila Arruda",1464,
IF(D33="Camila",1464,
IF(D33="Jairo Costa",9911,
IF(D33="Moacir Lopes",1278,
IF(D33="Nei Xavier",1150,
IF(D33="Raquel Ricardo",1217,
IF(D33="Timoteo Hellwing",9839,
IF(D33="Volnei Klug",1335,
IF(D33="Natalia",1429,
IF(D33="Wagner da Silva",1623,
IF(D33="Marcelo de Souza",9808,
IF(D33="Fernando Moura",1450,
IF(D33="Paulo Renato",6127,
IF(D33="Vinicios da Luz",9905,
IF(D33="Bruno Santos",1273,
IF(D33="Mauricio Keenan",1500,
IF(D33="Juliano Lause",1544,
IF(D33="Guilherme Juhliano",1522,
IF(D33="Timoteo",9839,
IF(D33="Carlos Alberto",1615,
IF(D33="Anaina Schmidt",1503,
IF(D33="Rose - Nelvaira",9863,
IF(D33="Henrik Von Muhlen",1280,
IF(D33="Luiz Olavo",1607,
IF(D33="Sidimar Luis",1325,
IF(D33="Thiago Fraga",1604,""))))))))))))))))))))))))))))))))))))))))</f>
        <v/>
      </c>
      <c r="D33" t="str">
        <v>Vinicius da Luz</v>
      </c>
      <c r="E33" t="str">
        <v>Externo</v>
      </c>
      <c r="F33" t="str">
        <v>Litoral</v>
      </c>
      <c r="G33" t="str">
        <v>Muriel</v>
      </c>
      <c r="H33" t="str">
        <v>Diversos</v>
      </c>
      <c r="I33">
        <v>46205</v>
      </c>
    </row>
    <row r="34" xml:space="preserve">
      <c r="A34">
        <v>39470</v>
      </c>
      <c r="B34" t="str">
        <v>Teve Interesse</v>
      </c>
      <c r="C34" xml:space="preserve">
        <f xml:space="preserve">IF(D34="Cristielen",1211,
IF(D34="Jenifer",1575,
IF(D34="Tatiana Lacerda",9886,
IF(D34="Andreia Lopes",1504,
IF(D34="Arlecio Lindemann",1328,
IF(D34="Dionis Jose",1525,
IF(D34="Douglas Montagna",1581,
IF(D34="Elisiane Lambrechtt",1234,
IF(D34="Gislaine Muller",9937,
IF(D34="Henrique Godinho",1518,
IF(D34="Rose - Nelvara",9863,
IF(D34="Viviane Botelho",9872,
IF(D34="Ariane Quebao",1596,
IF(D34="Ariane",1596,
IF(D34="Camila Arruda",1464,
IF(D34="Camila",1464,
IF(D34="Jairo Costa",9911,
IF(D34="Moacir Lopes",1278,
IF(D34="Nei Xavier",1150,
IF(D34="Raquel Ricardo",1217,
IF(D34="Timoteo Hellwing",9839,
IF(D34="Volnei Klug",1335,
IF(D34="Natalia",1429,
IF(D34="Wagner da Silva",1623,
IF(D34="Marcelo de Souza",9808,
IF(D34="Fernando Moura",1450,
IF(D34="Paulo Renato",6127,
IF(D34="Vinicios da Luz",9905,
IF(D34="Bruno Santos",1273,
IF(D34="Mauricio Keenan",1500,
IF(D34="Juliano Lause",1544,
IF(D34="Guilherme Juhliano",1522,
IF(D34="Timoteo",9839,
IF(D34="Carlos Alberto",1615,
IF(D34="Anaina Schmidt",1503,
IF(D34="Rose - Nelvaira",9863,
IF(D34="Henrik Von Muhlen",1280,
IF(D34="Luiz Olavo",1607,
IF(D34="Sidimar Luis",1325,
IF(D34="Thiago Fraga",1604,""))))))))))))))))))))))))))))))))))))))))</f>
        <v>9808</v>
      </c>
      <c r="D34" t="str">
        <v>Marcelo de Souza</v>
      </c>
      <c r="E34" t="str">
        <v>Externo</v>
      </c>
      <c r="F34" t="str">
        <v>Sul</v>
      </c>
      <c r="G34" t="str">
        <v>Moizes</v>
      </c>
      <c r="H34" t="str">
        <v>Diversos</v>
      </c>
      <c r="I34">
        <v>46205</v>
      </c>
      <c r="J34" t="str">
        <v>Não</v>
      </c>
    </row>
    <row r="35" xml:space="preserve">
      <c r="A35">
        <v>42373</v>
      </c>
      <c r="B35" t="str">
        <v>Não teve</v>
      </c>
      <c r="C35" t="str" xml:space="preserve">
        <f xml:space="preserve">IF(D35="Cristielen",1211,
IF(D35="Jenifer",1575,
IF(D35="Tatiana Lacerda",9886,
IF(D35="Andreia Lopes",1504,
IF(D35="Arlecio Lindemann",1328,
IF(D35="Dionis Jose",1525,
IF(D35="Douglas Montagna",1581,
IF(D35="Elisiane Lambrechtt",1234,
IF(D35="Gislaine Muller",9937,
IF(D35="Henrique Godinho",1518,
IF(D35="Rose - Nelvara",9863,
IF(D35="Viviane Botelho",9872,
IF(D35="Ariane Quebao",1596,
IF(D35="Ariane",1596,
IF(D35="Camila Arruda",1464,
IF(D35="Camila",1464,
IF(D35="Jairo Costa",9911,
IF(D35="Moacir Lopes",1278,
IF(D35="Nei Xavier",1150,
IF(D35="Raquel Ricardo",1217,
IF(D35="Timoteo Hellwing",9839,
IF(D35="Volnei Klug",1335,
IF(D35="Natalia",1429,
IF(D35="Wagner da Silva",1623,
IF(D35="Marcelo de Souza",9808,
IF(D35="Fernando Moura",1450,
IF(D35="Paulo Renato",6127,
IF(D35="Vinicios da Luz",9905,
IF(D35="Bruno Santos",1273,
IF(D35="Mauricio Keenan",1500,
IF(D35="Juliano Lause",1544,
IF(D35="Guilherme Juhliano",1522,
IF(D35="Timoteo",9839,
IF(D35="Carlos Alberto",1615,
IF(D35="Anaina Schmidt",1503,
IF(D35="Rose - Nelvaira",9863,
IF(D35="Henrik Von Muhlen",1280,
IF(D35="Luiz Olavo",1607,
IF(D35="Sidimar Luis",1325,
IF(D35="Thiago Fraga",1604,""))))))))))))))))))))))))))))))))))))))))</f>
        <v/>
      </c>
      <c r="I35">
        <v>46205</v>
      </c>
    </row>
    <row r="36" xml:space="preserve">
      <c r="A36">
        <v>17453</v>
      </c>
      <c r="B36" t="str">
        <v>Teve Interesse</v>
      </c>
      <c r="C36" t="str" xml:space="preserve">
        <f xml:space="preserve">IF(D36="Cristielen",1211,
IF(D36="Jenifer",1575,
IF(D36="Tatiana Lacerda",9886,
IF(D36="Andreia Lopes",1504,
IF(D36="Arlecio Lindemann",1328,
IF(D36="Dionis Jose",1525,
IF(D36="Douglas Montagna",1581,
IF(D36="Elisiane Lambrechtt",1234,
IF(D36="Gislaine Muller",9937,
IF(D36="Henrique Godinho",1518,
IF(D36="Rose - Nelvara",9863,
IF(D36="Viviane Botelho",9872,
IF(D36="Ariane Quebao",1596,
IF(D36="Ariane",1596,
IF(D36="Camila Arruda",1464,
IF(D36="Camila",1464,
IF(D36="Jairo Costa",9911,
IF(D36="Moacir Lopes",1278,
IF(D36="Nei Xavier",1150,
IF(D36="Raquel Ricardo",1217,
IF(D36="Timoteo Hellwing",9839,
IF(D36="Volnei Klug",1335,
IF(D36="Natalia",1429,
IF(D36="Wagner da Silva",1623,
IF(D36="Marcelo de Souza",9808,
IF(D36="Fernando Moura",1450,
IF(D36="Paulo Renato",6127,
IF(D36="Vinicios da Luz",9905,
IF(D36="Bruno Santos",1273,
IF(D36="Mauricio Keenan",1500,
IF(D36="Juliano Lause",1544,
IF(D36="Guilherme Juhliano",1522,
IF(D36="Timoteo",9839,
IF(D36="Carlos Alberto",1615,
IF(D36="Anaina Schmidt",1503,
IF(D36="Rose - Nelvaira",9863,
IF(D36="Henrik Von Muhlen",1280,
IF(D36="Luiz Olavo",1607,
IF(D36="Sidimar Luis",1325,
IF(D36="Thiago Fraga",1604,""))))))))))))))))))))))))))))))))))))))))</f>
        <v/>
      </c>
      <c r="D36" t="str">
        <v>Evandro da Costa</v>
      </c>
      <c r="E36" t="str">
        <v>Externo</v>
      </c>
      <c r="F36" t="str">
        <v>Serra</v>
      </c>
      <c r="G36" t="str">
        <v>Jackson</v>
      </c>
      <c r="H36" t="str">
        <v>Diversos</v>
      </c>
      <c r="I36">
        <v>46205</v>
      </c>
    </row>
    <row r="37" xml:space="preserve">
      <c r="A37">
        <v>24833</v>
      </c>
      <c r="B37" t="str">
        <v>Teve Interesse</v>
      </c>
      <c r="C37" xml:space="preserve">
        <f xml:space="preserve">IF(D37="Cristielen",1211,
IF(D37="Jenifer",1575,
IF(D37="Tatiana Lacerda",9886,
IF(D37="Andreia Lopes",1504,
IF(D37="Arlecio Lindemann",1328,
IF(D37="Dionis Jose",1525,
IF(D37="Douglas Montagna",1581,
IF(D37="Elisiane Lambrechtt",1234,
IF(D37="Gislaine Muller",9937,
IF(D37="Henrique Godinho",1518,
IF(D37="Rose - Nelvara",9863,
IF(D37="Viviane Botelho",9872,
IF(D37="Ariane Quebao",1596,
IF(D37="Ariane",1596,
IF(D37="Camila Arruda",1464,
IF(D37="Camila",1464,
IF(D37="Jairo Costa",9911,
IF(D37="Moacir Lopes",1278,
IF(D37="Nei Xavier",1150,
IF(D37="Raquel Ricardo",1217,
IF(D37="Timoteo Hellwing",9839,
IF(D37="Volnei Klug",1335,
IF(D37="Natalia",1429,
IF(D37="Wagner da Silva",1623,
IF(D37="Marcelo de Souza",9808,
IF(D37="Fernando Moura",1450,
IF(D37="Paulo Renato",6127,
IF(D37="Vinicios da Luz",9905,
IF(D37="Bruno Santos",1273,
IF(D37="Mauricio Keenan",1500,
IF(D37="Juliano Lause",1544,
IF(D37="Guilherme Juhliano",1522,
IF(D37="Timoteo",9839,
IF(D37="Carlos Alberto",1615,
IF(D37="Anaina Schmidt",1503,
IF(D37="Rose - Nelvaira",9863,
IF(D37="Henrik Von Muhlen",1280,
IF(D37="Luiz Olavo",1607,
IF(D37="Sidimar Luis",1325,
IF(D37="Thiago Fraga",1604,""))))))))))))))))))))))))))))))))))))))))</f>
        <v>1150</v>
      </c>
      <c r="D37" t="str">
        <v>Nei Xavier</v>
      </c>
      <c r="I37">
        <v>46205</v>
      </c>
    </row>
    <row r="38" xml:space="preserve">
      <c r="A38">
        <v>35978</v>
      </c>
      <c r="B38" t="str">
        <v>Teve Interesse</v>
      </c>
      <c r="C38" xml:space="preserve">
        <f xml:space="preserve">IF(D38="Cristielen",1211,
IF(D38="Jenifer",1575,
IF(D38="Tatiana Lacerda",9886,
IF(D38="Andreia Lopes",1504,
IF(D38="Arlecio Lindemann",1328,
IF(D38="Dionis Jose",1525,
IF(D38="Douglas Montagna",1581,
IF(D38="Elisiane Lambrechtt",1234,
IF(D38="Gislaine Muller",9937,
IF(D38="Henrique Godinho",1518,
IF(D38="Rose - Nelvara",9863,
IF(D38="Viviane Botelho",9872,
IF(D38="Ariane Quebao",1596,
IF(D38="Ariane",1596,
IF(D38="Camila Arruda",1464,
IF(D38="Camila",1464,
IF(D38="Jairo Costa",9911,
IF(D38="Moacir Lopes",1278,
IF(D38="Nei Xavier",1150,
IF(D38="Raquel Ricardo",1217,
IF(D38="Timoteo Hellwing",9839,
IF(D38="Volnei Klug",1335,
IF(D38="Natalia",1429,
IF(D38="Wagner da Silva",1623,
IF(D38="Marcelo de Souza",9808,
IF(D38="Fernando Moura",1450,
IF(D38="Paulo Renato",6127,
IF(D38="Vinicios da Luz",9905,
IF(D38="Bruno Santos",1273,
IF(D38="Mauricio Keenan",1500,
IF(D38="Juliano Lause",1544,
IF(D38="Guilherme Juhliano",1522,
IF(D38="Timoteo",9839,
IF(D38="Carlos Alberto",1615,
IF(D38="Anaina Schmidt",1503,
IF(D38="Rose - Nelvaira",9863,
IF(D38="Henrik Von Muhlen",1280,
IF(D38="Luiz Olavo",1607,
IF(D38="Sidimar Luis",1325,
IF(D38="Thiago Fraga",1604,""))))))))))))))))))))))))))))))))))))))))</f>
        <v>9863</v>
      </c>
      <c r="D38" t="str">
        <v>Rose - Nelvaira</v>
      </c>
      <c r="E38" t="str">
        <v>Externo</v>
      </c>
      <c r="F38" t="str">
        <v>Sul</v>
      </c>
      <c r="G38" t="str">
        <v>Moizes</v>
      </c>
      <c r="H38" t="str">
        <v>Diversos</v>
      </c>
      <c r="I38">
        <v>46205</v>
      </c>
      <c r="J38" t="str">
        <v>Não</v>
      </c>
    </row>
    <row r="39" xml:space="preserve">
      <c r="A39">
        <v>39096</v>
      </c>
      <c r="B39" t="str">
        <v>Teve Interesse</v>
      </c>
      <c r="C39" xml:space="preserve">
        <f xml:space="preserve">IF(D39="Cristielen",1211,
IF(D39="Jenifer",1575,
IF(D39="Tatiana Lacerda",9886,
IF(D39="Andreia Lopes",1504,
IF(D39="Arlecio Lindemann",1328,
IF(D39="Dionis Jose",1525,
IF(D39="Douglas Montagna",1581,
IF(D39="Elisiane Lambrechtt",1234,
IF(D39="Gislaine Muller",9937,
IF(D39="Henrique Godinho",1518,
IF(D39="Rose - Nelvara",9863,
IF(D39="Viviane Botelho",9872,
IF(D39="Ariane Quebao",1596,
IF(D39="Ariane",1596,
IF(D39="Camila Arruda",1464,
IF(D39="Camila",1464,
IF(D39="Jairo Costa",9911,
IF(D39="Moacir Lopes",1278,
IF(D39="Nei Xavier",1150,
IF(D39="Raquel Ricardo",1217,
IF(D39="Timoteo Hellwing",9839,
IF(D39="Volnei Klug",1335,
IF(D39="Natalia",1429,
IF(D39="Wagner da Silva",1623,
IF(D39="Marcelo de Souza",9808,
IF(D39="Fernando Moura",1450,
IF(D39="Paulo Renato",6127,
IF(D39="Vinicios da Luz",9905,
IF(D39="Bruno Santos",1273,
IF(D39="Mauricio Keenan",1500,
IF(D39="Juliano Lause",1544,
IF(D39="Guilherme Juhliano",1522,
IF(D39="Timoteo",9839,
IF(D39="Carlos Alberto",1615,
IF(D39="Anaina Schmidt",1503,
IF(D39="Rose - Nelvaira",9863,
IF(D39="Henrik Von Muhlen",1280,
IF(D39="Luiz Olavo",1607,
IF(D39="Sidimar Luis",1325,
IF(D39="Thiago Fraga",1604,""))))))))))))))))))))))))))))))))))))))))</f>
        <v>1325</v>
      </c>
      <c r="D39" t="str">
        <v>Sidimar Luis</v>
      </c>
      <c r="E39" t="str">
        <v>Externo</v>
      </c>
      <c r="F39" t="str">
        <v>Serra</v>
      </c>
      <c r="G39" t="str">
        <v>Jackson</v>
      </c>
      <c r="H39" t="str">
        <v>Diversos</v>
      </c>
      <c r="I39">
        <v>46205</v>
      </c>
      <c r="J39" t="str">
        <v>Não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3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R22"/>
  <sheetViews>
    <sheetView workbookViewId="0" rightToLeft="0"/>
  </sheetViews>
  <sheetData>
    <row r="1">
      <c r="A1" t="str">
        <v>CAMPANHA AÇAÍ | 45-120 DIAS | TELEVENDAS</v>
      </c>
    </row>
    <row r="4">
      <c r="A4" t="str">
        <v>TEXTO DE DISPARO</v>
      </c>
    </row>
    <row r="5">
      <c r="A5" t="str">
        <v xml:space="preserve">Promoção de açaí disponível na MAR FOOD SERVICE! Aproveite uma condição exclusiva por tempo limitado e com um brinde exclusivo. Responda "QUERO" para receber as informações.💜 </v>
      </c>
    </row>
    <row r="8">
      <c r="A8" t="str">
        <v>PÚBLICO DE DISPARO</v>
      </c>
    </row>
    <row r="9" xml:space="preserve">
      <c r="A9" t="str" xml:space="preserve">
        <v xml:space="preserve">CPF_x000d_
45 à 120 dias sem compra</v>
      </c>
    </row>
    <row r="12">
      <c r="A12" t="str">
        <v>RESUMO DE DISPARO</v>
      </c>
    </row>
    <row r="13" xml:space="preserve">
      <c r="A13" t="str" xml:space="preserve">
        <v xml:space="preserve">986 contatos totais_x000d_
358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 xml:space="preserve">
      <c r="A18">
        <v>36147</v>
      </c>
      <c r="B18" t="str">
        <v>Teve Interesse</v>
      </c>
      <c r="C18" xml:space="preserve">
        <f xml:space="preserve">IF(D18="Cristielen",1211,
IF(D18="Jenifer",1575,
IF(D18="Tatiana Lacerda",9886,
IF(D18="Andreia Lopes",1504,
IF(D18="Arlecio Lindemann",1328,
IF(D18="Dionis Jose",1525,
IF(D18="Douglas Montagna",1581,
IF(D18="Elisiane Lambrechtt",1234,
IF(D18="Gislaine Muller",9937,
IF(D18="Henrique Godinho",1518,
IF(D18="Rose - Nelvara",9863,
IF(D18="Viviane Botelho",9872,
IF(D18="Ariane Quebao",1596,
IF(D18="Ariane",1596,
IF(D18="Camila Arruda",1464,
IF(D18="Camila",1464,
IF(D18="Jairo Costa",9911,
IF(D18="Moacir Lopes",1278,
IF(D18="Nei Xavier",1150,
IF(D18="Raquel Ricardo",1217,
IF(D18="Timoteo Hellwing",9839,
IF(D18="Volnei Klug",1335,
IF(D18="Natalia",1429,
IF(D18="Wagner da Silva",1623,
IF(D18="Marcelo de Souza",9808,
IF(D18="Fernando Moura",1450,
IF(D18="Paulo Renato",6127,
IF(D18="Vinicios da Luz",9905,
IF(D18="Bruno Santos",1273,
IF(D18="Mauricio Keenan",1500,
IF(D18="Juliano Lause",1544,
IF(D18="Guilherme Juhliano",1522,
IF(D18="Timoteo",9839,
IF(D18="Carlos Alberto",1615,
IF(D18="Anaina Schmidt",1503,
IF(D18="Rose - Nelvaira",9863,
IF(D18="Henrik Von Muhlen",1280,
IF(D18="Luiz Olavo",1607,
IF(D18="Sidimar Luis",1325,
IF(D18="Thiago Fraga",1604,""))))))))))))))))))))))))))))))))))))))))</f>
        <v>9886</v>
      </c>
      <c r="D18" t="str">
        <v>Tatiana Lacerda</v>
      </c>
      <c r="E18" t="str">
        <v>Televendas</v>
      </c>
      <c r="F18" t="str">
        <v>Serra</v>
      </c>
      <c r="G18" t="str">
        <v>Franciele</v>
      </c>
      <c r="H18" t="str">
        <v>Açai</v>
      </c>
      <c r="I18">
        <v>46206</v>
      </c>
      <c r="J18" t="str">
        <v>Não</v>
      </c>
    </row>
    <row r="19" xml:space="preserve">
      <c r="A19">
        <v>39914</v>
      </c>
      <c r="B19" t="str">
        <v>Teve Interesse</v>
      </c>
      <c r="C19" xml:space="preserve">
        <f xml:space="preserve">IF(D19="Cristielen",1211,
IF(D19="Jenifer",1575,
IF(D19="Tatiana Lacerda",9886,
IF(D19="Andreia Lopes",1504,
IF(D19="Arlecio Lindemann",1328,
IF(D19="Dionis Jose",1525,
IF(D19="Douglas Montagna",1581,
IF(D19="Elisiane Lambrechtt",1234,
IF(D19="Gislaine Muller",9937,
IF(D19="Henrique Godinho",1518,
IF(D19="Rose - Nelvara",9863,
IF(D19="Viviane Botelho",9872,
IF(D19="Ariane Quebao",1596,
IF(D19="Ariane",1596,
IF(D19="Camila Arruda",1464,
IF(D19="Camila",1464,
IF(D19="Jairo Costa",9911,
IF(D19="Moacir Lopes",1278,
IF(D19="Nei Xavier",1150,
IF(D19="Raquel Ricardo",1217,
IF(D19="Timoteo Hellwing",9839,
IF(D19="Volnei Klug",1335,
IF(D19="Natalia",1429,
IF(D19="Wagner da Silva",1623,
IF(D19="Marcelo de Souza",9808,
IF(D19="Fernando Moura",1450,
IF(D19="Paulo Renato",6127,
IF(D19="Vinicios da Luz",9905,
IF(D19="Bruno Santos",1273,
IF(D19="Mauricio Keenan",1500,
IF(D19="Juliano Lause",1544,
IF(D19="Guilherme Juhliano",1522,
IF(D19="Timoteo",9839,
IF(D19="Carlos Alberto",1615,
IF(D19="Anaina Schmidt",1503,
IF(D19="Rose - Nelvaira",9863,
IF(D19="Henrik Von Muhlen",1280,
IF(D19="Luiz Olavo",1607,
IF(D19="Sidimar Luis",1325,
IF(D19="Thiago Fraga",1604,""))))))))))))))))))))))))))))))))))))))))</f>
        <v>1596</v>
      </c>
      <c r="D19" t="str">
        <v>Ariane Quebao</v>
      </c>
      <c r="E19" t="str">
        <v>Televendas</v>
      </c>
      <c r="F19" t="str">
        <v>Grande POA</v>
      </c>
      <c r="G19" t="str">
        <v>Franciele</v>
      </c>
      <c r="H19" t="str">
        <v>Açai</v>
      </c>
      <c r="I19">
        <v>46206</v>
      </c>
      <c r="J19" t="str">
        <v>Sim</v>
      </c>
      <c r="K19">
        <v>175.75</v>
      </c>
    </row>
    <row r="20" xml:space="preserve">
      <c r="A20">
        <v>36638</v>
      </c>
      <c r="B20" t="str">
        <v>Teve Interesse</v>
      </c>
      <c r="C20" xml:space="preserve">
        <f xml:space="preserve">IF(D20="Cristielen",1211,
IF(D20="Jenifer",1575,
IF(D20="Tatiana Lacerda",9886,
IF(D20="Andreia Lopes",1504,
IF(D20="Arlecio Lindemann",1328,
IF(D20="Dionis Jose",1525,
IF(D20="Douglas Montagna",1581,
IF(D20="Elisiane Lambrechtt",1234,
IF(D20="Gislaine Muller",9937,
IF(D20="Henrique Godinho",1518,
IF(D20="Rose - Nelvara",9863,
IF(D20="Viviane Botelho",9872,
IF(D20="Ariane Quebao",1596,
IF(D20="Ariane",1596,
IF(D20="Camila Arruda",1464,
IF(D20="Camila",1464,
IF(D20="Jairo Costa",9911,
IF(D20="Moacir Lopes",1278,
IF(D20="Nei Xavier",1150,
IF(D20="Raquel Ricardo",1217,
IF(D20="Timoteo Hellwing",9839,
IF(D20="Volnei Klug",1335,
IF(D20="Natalia",1429,
IF(D20="Wagner da Silva",1623,
IF(D20="Marcelo de Souza",9808,
IF(D20="Fernando Moura",1450,
IF(D20="Paulo Renato",6127,
IF(D20="Vinicios da Luz",9905,
IF(D20="Bruno Santos",1273,
IF(D20="Mauricio Keenan",1500,
IF(D20="Juliano Lause",1544,
IF(D20="Guilherme Juhliano",1522,
IF(D20="Timoteo",9839,
IF(D20="Carlos Alberto",1615,
IF(D20="Anaina Schmidt",1503,
IF(D20="Rose - Nelvaira",9863,
IF(D20="Henrik Von Muhlen",1280,
IF(D20="Luiz Olavo",1607,
IF(D20="Sidimar Luis",1325,
IF(D20="Thiago Fraga",1604,""))))))))))))))))))))))))))))))))))))))))</f>
        <v>1464</v>
      </c>
      <c r="D20" t="str">
        <v>Camila Arruda</v>
      </c>
      <c r="E20" t="str">
        <v>Televendas</v>
      </c>
      <c r="F20" t="str">
        <v>Sul</v>
      </c>
      <c r="G20" t="str">
        <v>Franciele</v>
      </c>
      <c r="H20" t="str">
        <v>Açai</v>
      </c>
      <c r="I20">
        <v>46206</v>
      </c>
      <c r="J20" t="str">
        <v>Não</v>
      </c>
    </row>
    <row r="21" xml:space="preserve">
      <c r="A21">
        <v>42253</v>
      </c>
      <c r="B21" t="str">
        <v>Teve Interesse</v>
      </c>
      <c r="C21" xml:space="preserve">
        <f xml:space="preserve">IF(D21="Cristielen",1211,
IF(D21="Jenifer",1575,
IF(D21="Tatiana Lacerda",9886,
IF(D21="Andreia Lopes",1504,
IF(D21="Arlecio Lindemann",1328,
IF(D21="Dionis Jose",1525,
IF(D21="Douglas Montagna",1581,
IF(D21="Elisiane Lambrechtt",1234,
IF(D21="Gislaine Muller",9937,
IF(D21="Henrique Godinho",1518,
IF(D21="Rose - Nelvara",9863,
IF(D21="Viviane Botelho",9872,
IF(D21="Ariane Quebao",1596,
IF(D21="Ariane",1596,
IF(D21="Camila Arruda",1464,
IF(D21="Camila",1464,
IF(D21="Jairo Costa",9911,
IF(D21="Moacir Lopes",1278,
IF(D21="Nei Xavier",1150,
IF(D21="Raquel Ricardo",1217,
IF(D21="Timoteo Hellwing",9839,
IF(D21="Volnei Klug",1335,
IF(D21="Natalia",1429,
IF(D21="Wagner da Silva",1623,
IF(D21="Marcelo de Souza",9808,
IF(D21="Fernando Moura",1450,
IF(D21="Paulo Renato",6127,
IF(D21="Vinicios da Luz",9905,
IF(D21="Bruno Santos",1273,
IF(D21="Mauricio Keenan",1500,
IF(D21="Juliano Lause",1544,
IF(D21="Guilherme Juhliano",1522,
IF(D21="Timoteo",9839,
IF(D21="Carlos Alberto",1615,
IF(D21="Anaina Schmidt",1503,
IF(D21="Rose - Nelvaira",9863,
IF(D21="Henrik Von Muhlen",1280,
IF(D21="Luiz Olavo",1607,
IF(D21="Sidimar Luis",1325,
IF(D21="Thiago Fraga",1604,""))))))))))))))))))))))))))))))))))))))))</f>
        <v>1464</v>
      </c>
      <c r="D21" t="str">
        <v>Camila Arruda</v>
      </c>
      <c r="E21" t="str">
        <v>Televendas</v>
      </c>
      <c r="F21" t="str">
        <v>Sul</v>
      </c>
      <c r="G21" t="str">
        <v>Franciele</v>
      </c>
      <c r="H21" t="str">
        <v>Açai</v>
      </c>
      <c r="I21">
        <v>46206</v>
      </c>
      <c r="J21" t="str">
        <v>Não</v>
      </c>
    </row>
    <row r="22" xml:space="preserve">
      <c r="A22">
        <v>34855</v>
      </c>
      <c r="B22" t="str">
        <v>Teve Interesse</v>
      </c>
      <c r="C22" xml:space="preserve">
        <f xml:space="preserve">IF(D22="Cristielen",1211,
IF(D22="Jenifer",1575,
IF(D22="Tatiana Lacerda",9886,
IF(D22="Andreia Lopes",1504,
IF(D22="Arlecio Lindemann",1328,
IF(D22="Dionis Jose",1525,
IF(D22="Douglas Montagna",1581,
IF(D22="Elisiane Lambrechtt",1234,
IF(D22="Gislaine Muller",9937,
IF(D22="Henrique Godinho",1518,
IF(D22="Rose - Nelvara",9863,
IF(D22="Viviane Botelho",9872,
IF(D22="Ariane Quebao",1596,
IF(D22="Ariane",1596,
IF(D22="Camila Arruda",1464,
IF(D22="Camila",1464,
IF(D22="Jairo Costa",9911,
IF(D22="Moacir Lopes",1278,
IF(D22="Nei Xavier",1150,
IF(D22="Raquel Ricardo",1217,
IF(D22="Timoteo Hellwing",9839,
IF(D22="Volnei Klug",1335,
IF(D22="Natalia",1429,
IF(D22="Wagner da Silva",1623,
IF(D22="Marcelo de Souza",9808,
IF(D22="Fernando Moura",1450,
IF(D22="Paulo Renato",6127,
IF(D22="Vinicios da Luz",9905,
IF(D22="Bruno Santos",1273,
IF(D22="Mauricio Keenan",1500,
IF(D22="Juliano Lause",1544,
IF(D22="Guilherme Juhliano",1522,
IF(D22="Timoteo",9839,
IF(D22="Carlos Alberto",1615,
IF(D22="Anaina Schmidt",1503,
IF(D22="Rose - Nelvaira",9863,
IF(D22="Henrik Von Muhlen",1280,
IF(D22="Luiz Olavo",1607,
IF(D22="Sidimar Luis",1325,
IF(D22="Thiago Fraga",1604,""))))))))))))))))))))))))))))))))))))))))</f>
        <v>1211</v>
      </c>
      <c r="D22" t="str">
        <v>Cristielen</v>
      </c>
      <c r="E22" t="str">
        <v>Televendas</v>
      </c>
      <c r="F22" t="str">
        <v>Litoral</v>
      </c>
      <c r="G22" t="str">
        <v>Franciele</v>
      </c>
      <c r="H22" t="str">
        <v>Açai</v>
      </c>
      <c r="I22">
        <v>46206</v>
      </c>
      <c r="J22" t="str">
        <v>Não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22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R28"/>
  <sheetViews>
    <sheetView workbookViewId="0" rightToLeft="0"/>
  </sheetViews>
  <sheetData>
    <row r="1">
      <c r="A1" t="str">
        <v>CAMPANHA AÇAÍ | 20-44 DIAS | TELEVENDAS</v>
      </c>
    </row>
    <row r="4">
      <c r="A4" t="str">
        <v>TEXTO DE DISPARO</v>
      </c>
    </row>
    <row r="5">
      <c r="A5" t="str">
        <v>🎉 CONDIÇÃO EXCLUSIVA NA MAR FOOD SERVICE! 🎉 Chame aqui e garanta uma condição especial para sua empresa. Nossa equipe está pronta para apresentar a melhor negociação para você.</v>
      </c>
    </row>
    <row r="8">
      <c r="A8" t="str">
        <v>PÚBLICO DE DISPARO</v>
      </c>
    </row>
    <row r="9" xml:space="preserve">
      <c r="A9" t="str" xml:space="preserve">
        <v xml:space="preserve">CPF_x000d_
45 à 365 dias sem compra</v>
      </c>
    </row>
    <row r="12">
      <c r="A12" t="str">
        <v>RESUMO DE DISPARO</v>
      </c>
    </row>
    <row r="13" xml:space="preserve">
      <c r="A13" t="str" xml:space="preserve">
        <v xml:space="preserve">1436 contatos totais_x000d_
628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36675</v>
      </c>
      <c r="B18" t="str">
        <v>Teve Interesse</v>
      </c>
      <c r="C18">
        <v>1596</v>
      </c>
      <c r="D18" t="str">
        <v>Ariane Quebao</v>
      </c>
      <c r="E18" t="str">
        <v>Televendas</v>
      </c>
      <c r="F18" t="str">
        <v>Metropolitana</v>
      </c>
      <c r="G18" t="str">
        <v>Franciele</v>
      </c>
      <c r="H18" t="str">
        <v>Açai</v>
      </c>
      <c r="I18">
        <v>46209</v>
      </c>
    </row>
    <row r="19">
      <c r="A19">
        <v>35090</v>
      </c>
      <c r="B19" t="str">
        <v>Teve Interesse</v>
      </c>
      <c r="C19">
        <v>9886</v>
      </c>
      <c r="D19" t="str">
        <v>Tatiana Lacerda</v>
      </c>
      <c r="E19" t="str">
        <v>Televendas</v>
      </c>
      <c r="F19" t="str">
        <v>Serra</v>
      </c>
      <c r="G19" t="str">
        <v>Franciele</v>
      </c>
      <c r="H19" t="str">
        <v>Açai</v>
      </c>
      <c r="I19">
        <v>46209</v>
      </c>
    </row>
    <row r="20">
      <c r="A20">
        <v>37820</v>
      </c>
      <c r="B20" t="str">
        <v>Teve Interesse</v>
      </c>
      <c r="C20">
        <v>9886</v>
      </c>
      <c r="D20" t="str">
        <v>Tatiana Lacerda</v>
      </c>
      <c r="E20" t="str">
        <v>Televendas</v>
      </c>
      <c r="F20" t="str">
        <v>Serra</v>
      </c>
      <c r="G20" t="str">
        <v>Franciele</v>
      </c>
      <c r="H20" t="str">
        <v>Açai</v>
      </c>
      <c r="I20">
        <v>46209</v>
      </c>
    </row>
    <row r="21">
      <c r="A21">
        <v>41688</v>
      </c>
      <c r="B21" t="str">
        <v>Teve Interesse</v>
      </c>
      <c r="C21">
        <v>1624</v>
      </c>
      <c r="D21" t="str">
        <v>Tatiana Lacerda</v>
      </c>
      <c r="E21" t="str">
        <v>Televendas</v>
      </c>
      <c r="F21" t="str">
        <v>Litoral</v>
      </c>
      <c r="G21" t="str">
        <v>Franciele</v>
      </c>
      <c r="H21" t="str">
        <v>Açai</v>
      </c>
      <c r="I21">
        <v>46209</v>
      </c>
    </row>
    <row r="22">
      <c r="A22">
        <v>42118</v>
      </c>
      <c r="B22" t="str">
        <v>Teve Interesse</v>
      </c>
      <c r="C22">
        <v>1464</v>
      </c>
      <c r="D22" t="str">
        <v>Camila Arruda</v>
      </c>
      <c r="E22" t="str">
        <v>Televendas</v>
      </c>
      <c r="F22" t="str">
        <v>Sul</v>
      </c>
      <c r="G22" t="str">
        <v>Franciele</v>
      </c>
      <c r="H22" t="str">
        <v>Açai</v>
      </c>
      <c r="I22">
        <v>46209</v>
      </c>
    </row>
    <row r="23">
      <c r="A23">
        <v>41286</v>
      </c>
      <c r="B23" t="str">
        <v>Teve Interesse</v>
      </c>
      <c r="C23">
        <v>1624</v>
      </c>
      <c r="D23" t="str">
        <v>Tatiana Lacerda</v>
      </c>
      <c r="E23" t="str">
        <v>Televendas</v>
      </c>
      <c r="F23" t="str">
        <v>Litoral</v>
      </c>
      <c r="G23" t="str">
        <v>Franciele</v>
      </c>
      <c r="H23" t="str">
        <v>Açai</v>
      </c>
      <c r="I23">
        <v>46209</v>
      </c>
    </row>
    <row r="24">
      <c r="A24">
        <v>39800</v>
      </c>
      <c r="B24" t="str">
        <v>Teve Interesse</v>
      </c>
      <c r="C24">
        <v>1596</v>
      </c>
      <c r="D24" t="str">
        <v>Ariane Quebao</v>
      </c>
      <c r="E24" t="str">
        <v>Televendas</v>
      </c>
      <c r="F24" t="str">
        <v>Metropolitana</v>
      </c>
      <c r="G24" t="str">
        <v>Franciele</v>
      </c>
      <c r="H24" t="str">
        <v>Açai</v>
      </c>
      <c r="I24">
        <v>46209</v>
      </c>
    </row>
    <row r="25">
      <c r="A25">
        <v>42574</v>
      </c>
      <c r="B25" t="str">
        <v>Sem Interesse</v>
      </c>
      <c r="C25">
        <v>1211</v>
      </c>
      <c r="D25" t="str">
        <v>Cristielen Gonçalves</v>
      </c>
      <c r="E25" t="str">
        <v>Televendas</v>
      </c>
      <c r="F25" t="str">
        <v>Vale dos Sinos</v>
      </c>
      <c r="G25" t="str">
        <v>Franciele</v>
      </c>
      <c r="H25" t="str">
        <v>Açai</v>
      </c>
      <c r="I25">
        <v>46209</v>
      </c>
    </row>
    <row r="26">
      <c r="A26">
        <v>41270</v>
      </c>
      <c r="B26" t="str">
        <v>Teve Interesse</v>
      </c>
      <c r="C26">
        <v>1211</v>
      </c>
      <c r="D26" t="str">
        <v>Cristielen Gonçalves</v>
      </c>
      <c r="E26" t="str">
        <v>Televendas</v>
      </c>
      <c r="F26" t="str">
        <v>Vale dos Sinos</v>
      </c>
      <c r="G26" t="str">
        <v>Franciele</v>
      </c>
      <c r="H26" t="str">
        <v>Açai</v>
      </c>
      <c r="I26">
        <v>46209</v>
      </c>
    </row>
    <row r="27">
      <c r="A27">
        <v>41959</v>
      </c>
      <c r="B27" t="str">
        <v>Teve Interesse</v>
      </c>
      <c r="C27">
        <v>1575</v>
      </c>
      <c r="D27" t="str">
        <v>Jenifer Rodrigues</v>
      </c>
      <c r="E27" t="str">
        <v>Pré vendas</v>
      </c>
      <c r="F27" t="str">
        <v>Sul</v>
      </c>
      <c r="G27" t="str">
        <v>Franciele</v>
      </c>
      <c r="H27" t="str">
        <v>Açai</v>
      </c>
      <c r="I27">
        <v>46210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28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R85"/>
  <sheetViews>
    <sheetView workbookViewId="0" rightToLeft="0"/>
  </sheetViews>
  <sheetData>
    <row r="1">
      <c r="A1" t="str">
        <v>CAMPANHA AÇAÍ | 20-44 DIAS | REPRESENTANTES</v>
      </c>
    </row>
    <row r="4">
      <c r="A4" t="str">
        <v>TEXTO DE DISPARO</v>
      </c>
    </row>
    <row r="5">
      <c r="A5" t="str">
        <v>🎉 CONDIÇÃO EXCLUSIVA NA MAR FOOD SERVICE! 🎉 Chame aqui e garanta uma condição especial para sua empresa. Nossa equipe está pronta para apresentar a melhor negociação para você.</v>
      </c>
    </row>
    <row r="8">
      <c r="A8" t="str">
        <v>PÚBLICO DE DISPARO</v>
      </c>
    </row>
    <row r="9" xml:space="preserve">
      <c r="A9" t="str" xml:space="preserve">
        <v xml:space="preserve">Todos_x000d_
20 à 44 dias sem compra</v>
      </c>
    </row>
    <row r="12">
      <c r="A12" t="str">
        <v>RESUMO DE DISPARO</v>
      </c>
    </row>
    <row r="13" xml:space="preserve">
      <c r="A13" t="str" xml:space="preserve">
        <v xml:space="preserve">904 contatos totais_x000d_
328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36861</v>
      </c>
      <c r="B18" t="str">
        <v>Teve Interesse</v>
      </c>
      <c r="C18">
        <v>1363</v>
      </c>
      <c r="D18" t="str">
        <v>Jonathas Baptista</v>
      </c>
      <c r="E18" t="str">
        <v>Externo</v>
      </c>
      <c r="F18" t="str">
        <v>Litoral</v>
      </c>
      <c r="G18" t="str">
        <v>Muriel</v>
      </c>
      <c r="H18" t="str">
        <v>Açai</v>
      </c>
      <c r="I18">
        <v>46209</v>
      </c>
    </row>
    <row r="19">
      <c r="A19">
        <v>44732</v>
      </c>
      <c r="B19" t="str">
        <v>Teve Interesse</v>
      </c>
      <c r="C19">
        <v>1273</v>
      </c>
      <c r="D19" t="str">
        <v>Bruno Santos</v>
      </c>
      <c r="E19" t="str">
        <v>Externo</v>
      </c>
      <c r="F19" t="str">
        <v>Litoral</v>
      </c>
      <c r="G19" t="str">
        <v>Muriel</v>
      </c>
      <c r="H19" t="str">
        <v>Açai</v>
      </c>
      <c r="I19">
        <v>46209</v>
      </c>
    </row>
    <row r="20">
      <c r="A20">
        <v>21419</v>
      </c>
      <c r="B20" t="str">
        <v>Teve Interesse</v>
      </c>
      <c r="C20">
        <v>1504</v>
      </c>
      <c r="D20" t="str">
        <v>Andreia Lopes</v>
      </c>
      <c r="E20" t="str">
        <v>Externo</v>
      </c>
      <c r="F20" t="str">
        <v>Serra</v>
      </c>
      <c r="G20" t="str">
        <v>Jackson</v>
      </c>
      <c r="H20" t="str">
        <v>Açai</v>
      </c>
      <c r="I20">
        <v>46209</v>
      </c>
    </row>
    <row r="21">
      <c r="A21">
        <v>37342</v>
      </c>
      <c r="B21" t="str">
        <v>Teve Interesse</v>
      </c>
      <c r="C21">
        <v>1211</v>
      </c>
      <c r="D21" t="str">
        <v>Cristielen Gonçalves</v>
      </c>
      <c r="E21" t="str">
        <v>Televendas</v>
      </c>
      <c r="F21" t="str">
        <v>Vale dos Sinos</v>
      </c>
      <c r="G21" t="str">
        <v>Franciele</v>
      </c>
      <c r="H21" t="str">
        <v>Açai</v>
      </c>
      <c r="I21">
        <v>46209</v>
      </c>
    </row>
    <row r="22">
      <c r="A22">
        <v>45275</v>
      </c>
      <c r="B22" t="str">
        <v>Teve Interesse</v>
      </c>
      <c r="C22">
        <v>1624</v>
      </c>
      <c r="D22" t="str">
        <v>Tatiana Lacerda</v>
      </c>
      <c r="E22" t="str">
        <v>Televendas</v>
      </c>
      <c r="F22" t="str">
        <v>Litoral</v>
      </c>
      <c r="G22" t="str">
        <v>Franciele</v>
      </c>
      <c r="H22" t="str">
        <v>Açai</v>
      </c>
      <c r="I22">
        <v>46209</v>
      </c>
    </row>
    <row r="23">
      <c r="A23">
        <v>23202</v>
      </c>
      <c r="B23" t="str">
        <v>Teve Interesse</v>
      </c>
      <c r="C23">
        <v>1234</v>
      </c>
      <c r="D23" t="str">
        <v>Elisiane Lambrechtt</v>
      </c>
      <c r="E23" t="str">
        <v>Externo</v>
      </c>
      <c r="F23" t="str">
        <v>Metropolitana</v>
      </c>
      <c r="G23" t="str">
        <v>Juliano</v>
      </c>
      <c r="H23" t="str">
        <v>Açai</v>
      </c>
      <c r="I23">
        <v>46209</v>
      </c>
    </row>
    <row r="24">
      <c r="A24">
        <v>34079</v>
      </c>
      <c r="B24" t="str">
        <v>Teve Interesse</v>
      </c>
      <c r="C24">
        <v>1219</v>
      </c>
      <c r="D24" t="str">
        <v>Rita de Cassia</v>
      </c>
      <c r="E24" t="str">
        <v>Externo</v>
      </c>
      <c r="F24" t="str">
        <v>Sul</v>
      </c>
      <c r="G24" t="str">
        <v>Moizes</v>
      </c>
      <c r="H24" t="str">
        <v>Açai</v>
      </c>
      <c r="I24">
        <v>46209</v>
      </c>
    </row>
    <row r="25">
      <c r="A25">
        <v>41214</v>
      </c>
      <c r="B25" t="str">
        <v>Sem Interesse</v>
      </c>
      <c r="C25">
        <v>9794</v>
      </c>
      <c r="D25" t="str">
        <v>ILtom Armindo</v>
      </c>
      <c r="E25" t="str">
        <v>Externo</v>
      </c>
      <c r="F25" t="str">
        <v>Sul</v>
      </c>
      <c r="G25" t="str">
        <v>Moizes</v>
      </c>
      <c r="H25" t="str">
        <v>Açai</v>
      </c>
      <c r="I25">
        <v>46209</v>
      </c>
    </row>
    <row r="26">
      <c r="A26">
        <v>36687</v>
      </c>
      <c r="B26" t="str">
        <v>Teve Interesse</v>
      </c>
      <c r="C26">
        <v>1624</v>
      </c>
      <c r="D26" t="str">
        <v>Tatiana Lacerda</v>
      </c>
      <c r="E26" t="str">
        <v>Televendas</v>
      </c>
      <c r="F26" t="str">
        <v>Litoral</v>
      </c>
      <c r="G26" t="str">
        <v>Franciele</v>
      </c>
      <c r="H26" t="str">
        <v>Açai</v>
      </c>
      <c r="I26">
        <v>46209</v>
      </c>
    </row>
    <row r="27">
      <c r="A27">
        <v>33983</v>
      </c>
      <c r="B27" t="str">
        <v>Teve Interesse</v>
      </c>
      <c r="C27">
        <v>1237</v>
      </c>
      <c r="D27" t="str">
        <v>Fabricio Brancher</v>
      </c>
      <c r="E27" t="str">
        <v>Externo</v>
      </c>
      <c r="F27" t="str">
        <v>Serra</v>
      </c>
      <c r="G27" t="str">
        <v>Jackson</v>
      </c>
      <c r="H27" t="str">
        <v>Açai</v>
      </c>
      <c r="I27">
        <v>46209</v>
      </c>
    </row>
    <row r="28">
      <c r="A28">
        <v>39508</v>
      </c>
      <c r="B28" t="str">
        <v>Teve Interesse</v>
      </c>
      <c r="C28">
        <v>1552</v>
      </c>
      <c r="D28" t="str">
        <v>GianFrancisco Silva</v>
      </c>
      <c r="E28" t="str">
        <v>Externo</v>
      </c>
      <c r="F28" t="str">
        <v>Metropolitana</v>
      </c>
      <c r="G28" t="str">
        <v>Juliano</v>
      </c>
      <c r="H28" t="str">
        <v>Açai</v>
      </c>
      <c r="I28">
        <v>46209</v>
      </c>
    </row>
    <row r="29">
      <c r="A29">
        <v>45678</v>
      </c>
      <c r="B29" t="str">
        <v>Teve Interesse</v>
      </c>
      <c r="C29">
        <v>9920</v>
      </c>
      <c r="D29" t="str">
        <v>Tiago Ayres</v>
      </c>
      <c r="E29" t="str">
        <v>Externo</v>
      </c>
      <c r="F29" t="str">
        <v>Sul</v>
      </c>
      <c r="G29" t="str">
        <v>Moizes</v>
      </c>
      <c r="H29" t="str">
        <v>Açai</v>
      </c>
      <c r="I29">
        <v>46209</v>
      </c>
    </row>
    <row r="30">
      <c r="A30">
        <v>19609</v>
      </c>
      <c r="B30" t="str">
        <v>Teve Interesse</v>
      </c>
      <c r="C30">
        <v>9937</v>
      </c>
      <c r="D30" t="str">
        <v>Gislaine Muller</v>
      </c>
      <c r="E30" t="str">
        <v>Externo</v>
      </c>
      <c r="F30" t="str">
        <v>Vale dos Sinos</v>
      </c>
      <c r="G30" t="str">
        <v>Leonardo</v>
      </c>
      <c r="H30" t="str">
        <v>Açai</v>
      </c>
      <c r="I30">
        <v>46209</v>
      </c>
    </row>
    <row r="31">
      <c r="A31">
        <v>22657</v>
      </c>
      <c r="B31" t="str">
        <v>Teve Interesse</v>
      </c>
      <c r="C31">
        <v>9808</v>
      </c>
      <c r="D31" t="str">
        <v>Marcelo de Souza</v>
      </c>
      <c r="E31" t="str">
        <v>Externo</v>
      </c>
      <c r="F31" t="str">
        <v>Sul</v>
      </c>
      <c r="G31" t="str">
        <v>Moizes</v>
      </c>
      <c r="H31" t="str">
        <v>Açai</v>
      </c>
      <c r="I31">
        <v>46209</v>
      </c>
    </row>
    <row r="32">
      <c r="A32">
        <v>44225</v>
      </c>
      <c r="B32" t="str">
        <v>Teve Interesse</v>
      </c>
      <c r="C32">
        <v>9839</v>
      </c>
      <c r="D32" t="str">
        <v>Timoteo Hellwig</v>
      </c>
      <c r="E32" t="str">
        <v>Externo</v>
      </c>
      <c r="F32" t="str">
        <v>Sul</v>
      </c>
      <c r="G32" t="str">
        <v>Moizes</v>
      </c>
      <c r="H32" t="str">
        <v>Açai</v>
      </c>
      <c r="I32">
        <v>46209</v>
      </c>
    </row>
    <row r="33">
      <c r="A33">
        <v>45241</v>
      </c>
      <c r="B33" t="str">
        <v>Teve Interesse</v>
      </c>
      <c r="C33">
        <v>1607</v>
      </c>
      <c r="D33" t="str">
        <v>Luiz Olavo</v>
      </c>
      <c r="E33" t="str">
        <v>Externo</v>
      </c>
      <c r="F33" t="str">
        <v>Litoral</v>
      </c>
      <c r="G33" t="str">
        <v>Muriel</v>
      </c>
      <c r="H33" t="str">
        <v>Açai</v>
      </c>
      <c r="I33">
        <v>46209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5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A1:R85"/>
  <sheetViews>
    <sheetView workbookViewId="0" rightToLeft="0"/>
  </sheetViews>
  <sheetData>
    <row r="1">
      <c r="A1" t="str">
        <v>CAMPANHA CNPJ| 44-365 DIAS | TELEVENDAS</v>
      </c>
    </row>
    <row r="4">
      <c r="A4" t="str">
        <v>TEXTO DE DISPARO</v>
      </c>
    </row>
    <row r="5">
      <c r="A5" t="str">
        <v xml:space="preserve">🚨 Condições especiais para clientes com CNPJ! A MAR Food Service oferece preços diferenciados e um portfólio completo para abastecer o seu negócio com qualidade e economia. 📦 Carnes, frios, laticínios e muito mais. Responda "QUERO" e fale com nossa equipe para conhecer as condições disponíveis. Aproveite! </v>
      </c>
    </row>
    <row r="8">
      <c r="A8" t="str">
        <v>PÚBLICO DE DISPARO</v>
      </c>
    </row>
    <row r="9" xml:space="preserve">
      <c r="A9" t="str" xml:space="preserve">
        <v xml:space="preserve">Todos_x000d_
45 à 365 dias sem compra</v>
      </c>
    </row>
    <row r="12">
      <c r="A12" t="str">
        <v>RESUMO DE DISPARO</v>
      </c>
    </row>
    <row r="13" xml:space="preserve">
      <c r="A13" t="str" xml:space="preserve">
        <v xml:space="preserve">3561 contatos totais_x000d_
1558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43289</v>
      </c>
      <c r="B18" t="str">
        <v>Teve Interesse</v>
      </c>
      <c r="C18">
        <v>1464</v>
      </c>
      <c r="D18" t="str">
        <v>Camila Arruda</v>
      </c>
      <c r="E18" t="str">
        <v>Televendas</v>
      </c>
      <c r="F18" t="str">
        <v>Sul</v>
      </c>
      <c r="G18" t="str">
        <v>Franciele</v>
      </c>
    </row>
    <row r="19">
      <c r="A19">
        <v>42237</v>
      </c>
      <c r="B19" t="str">
        <v>Sem Interesse</v>
      </c>
      <c r="C19">
        <v>1575</v>
      </c>
      <c r="D19" t="str">
        <v>Jenifer</v>
      </c>
      <c r="E19" t="str">
        <v>Prévendas</v>
      </c>
      <c r="G19" t="str">
        <v>Franciele</v>
      </c>
    </row>
    <row r="20">
      <c r="A20">
        <v>41729</v>
      </c>
      <c r="B20" t="str">
        <v>Teve Interesse</v>
      </c>
      <c r="C20">
        <v>1575</v>
      </c>
      <c r="D20" t="str">
        <v>Jenifer</v>
      </c>
      <c r="E20" t="str">
        <v>Prévendas</v>
      </c>
      <c r="G20" t="str">
        <v>Franciele</v>
      </c>
    </row>
    <row r="21">
      <c r="A21">
        <v>35337</v>
      </c>
      <c r="B21" t="str">
        <v>Teve Interesse</v>
      </c>
      <c r="C21">
        <v>1575</v>
      </c>
      <c r="D21" t="str">
        <v>Jenifer</v>
      </c>
      <c r="E21" t="str">
        <v>Prévendas</v>
      </c>
      <c r="G21" t="str">
        <v>Franciele</v>
      </c>
    </row>
    <row r="22">
      <c r="A22">
        <v>41880</v>
      </c>
      <c r="B22" t="str">
        <v>Teve Interesse</v>
      </c>
      <c r="C22">
        <v>1575</v>
      </c>
      <c r="D22" t="str">
        <v>Jenifer</v>
      </c>
      <c r="E22" t="str">
        <v>Prévendas</v>
      </c>
      <c r="G22" t="str">
        <v>Franciele</v>
      </c>
    </row>
    <row r="23">
      <c r="A23">
        <v>41007</v>
      </c>
      <c r="B23" t="str">
        <v>Sem Interesse</v>
      </c>
      <c r="C23">
        <v>1575</v>
      </c>
      <c r="D23" t="str">
        <v>Jenifer</v>
      </c>
      <c r="E23" t="str">
        <v>Prévendas</v>
      </c>
      <c r="G23" t="str">
        <v>Franciele</v>
      </c>
    </row>
    <row r="24">
      <c r="A24">
        <v>39661</v>
      </c>
      <c r="B24" t="str">
        <v>Teve Interesse</v>
      </c>
      <c r="C24">
        <v>1575</v>
      </c>
      <c r="D24" t="str">
        <v>Jenifer</v>
      </c>
      <c r="E24" t="str">
        <v>Prévendas</v>
      </c>
      <c r="G24" t="str">
        <v>Franciele</v>
      </c>
    </row>
    <row r="25">
      <c r="A25">
        <v>41120</v>
      </c>
      <c r="B25" t="str">
        <v>Teve Interesse</v>
      </c>
      <c r="C25">
        <v>1575</v>
      </c>
      <c r="D25" t="str">
        <v>Jenifer</v>
      </c>
      <c r="E25" t="str">
        <v>Prévendas</v>
      </c>
      <c r="G25" t="str">
        <v>Franciele</v>
      </c>
    </row>
    <row r="26">
      <c r="A26">
        <v>38651</v>
      </c>
      <c r="B26" t="str">
        <v>Sem Interesse</v>
      </c>
      <c r="C26">
        <v>1575</v>
      </c>
      <c r="D26" t="str">
        <v>Jenifer</v>
      </c>
      <c r="E26" t="str">
        <v>Prévendas</v>
      </c>
      <c r="G26" t="str">
        <v>Franciele</v>
      </c>
    </row>
    <row r="27">
      <c r="A27">
        <v>43093</v>
      </c>
      <c r="B27" t="str">
        <v>Sem Interesse</v>
      </c>
      <c r="C27">
        <v>1575</v>
      </c>
      <c r="D27" t="str">
        <v>Jenifer</v>
      </c>
      <c r="E27" t="str">
        <v>Prévendas</v>
      </c>
      <c r="G27" t="str">
        <v>Franciele</v>
      </c>
    </row>
    <row r="28">
      <c r="A28">
        <v>11538</v>
      </c>
      <c r="B28" t="str">
        <v>Teve Interesse</v>
      </c>
      <c r="C28">
        <v>1575</v>
      </c>
      <c r="D28" t="str">
        <v>Jenifer</v>
      </c>
      <c r="E28" t="str">
        <v>Prévendas</v>
      </c>
      <c r="G28" t="str">
        <v>Franciele</v>
      </c>
    </row>
    <row r="29">
      <c r="A29">
        <v>40009</v>
      </c>
      <c r="B29" t="str">
        <v>Teve Interesse</v>
      </c>
      <c r="C29">
        <v>1575</v>
      </c>
      <c r="D29" t="str">
        <v>Jenifer</v>
      </c>
      <c r="E29" t="str">
        <v>Prévendas</v>
      </c>
      <c r="G29" t="str">
        <v>Franciele</v>
      </c>
    </row>
    <row r="30">
      <c r="A30">
        <v>27873</v>
      </c>
      <c r="B30" t="str">
        <v>Sem Interesse</v>
      </c>
      <c r="C30">
        <v>1575</v>
      </c>
      <c r="D30" t="str">
        <v>Jenifer</v>
      </c>
      <c r="E30" t="str">
        <v>Prévendas</v>
      </c>
      <c r="G30" t="str">
        <v>Franciele</v>
      </c>
    </row>
    <row r="31">
      <c r="A31">
        <v>33796</v>
      </c>
      <c r="B31" t="str">
        <v>Teve Interesse</v>
      </c>
      <c r="C31">
        <v>1575</v>
      </c>
      <c r="D31" t="str">
        <v>Jenifer</v>
      </c>
      <c r="E31" t="str">
        <v>Prévendas</v>
      </c>
      <c r="G31" t="str">
        <v>Franciele</v>
      </c>
    </row>
    <row r="32">
      <c r="A32">
        <v>36702</v>
      </c>
      <c r="B32" t="str">
        <v>Teve Interesse</v>
      </c>
      <c r="C32">
        <v>1575</v>
      </c>
      <c r="D32" t="str">
        <v>Jenifer</v>
      </c>
      <c r="E32" t="str">
        <v>Prévendas</v>
      </c>
      <c r="G32" t="str">
        <v>Franciele</v>
      </c>
    </row>
    <row r="33">
      <c r="A33">
        <v>41331</v>
      </c>
      <c r="B33" t="str">
        <v>Teve Interesse</v>
      </c>
      <c r="C33">
        <v>1575</v>
      </c>
      <c r="D33" t="str">
        <v>Jenifer</v>
      </c>
      <c r="E33" t="str">
        <v>Prévendas</v>
      </c>
      <c r="G33" t="str">
        <v>Franciele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5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:R85"/>
  <sheetViews>
    <sheetView workbookViewId="0" rightToLeft="0"/>
  </sheetViews>
  <sheetData>
    <row r="1">
      <c r="A1" t="str">
        <v>CAMPANHA CNPJ| 45-400 DIAS | TELEVENDAS</v>
      </c>
    </row>
    <row r="4">
      <c r="A4" t="str">
        <v>TEXTO DE DISPARO</v>
      </c>
    </row>
    <row r="5">
      <c r="A5" t="str">
        <v xml:space="preserve">Condição especial na MAR Food Service! Aproveite as condições da semana para manter o estoque do seu negócio sempre abastecido. Responda a esta mensagem e nossa equipe atenderá você em instantes. </v>
      </c>
    </row>
    <row r="8">
      <c r="A8" t="str">
        <v>PÚBLICO DE DISPARO</v>
      </c>
    </row>
    <row r="9" xml:space="preserve">
      <c r="A9" t="str" xml:space="preserve">
        <v xml:space="preserve">CPF_x000d_
45 à 400 dias sem compra</v>
      </c>
    </row>
    <row r="12">
      <c r="A12" t="str">
        <v>RESUMO DE DISPARO</v>
      </c>
    </row>
    <row r="13" xml:space="preserve">
      <c r="A13" t="str" xml:space="preserve">
        <v xml:space="preserve">1692 contatos totais_x000d_
523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43111</v>
      </c>
      <c r="B18" t="str">
        <v>Teve Interesse</v>
      </c>
      <c r="C18">
        <v>1575</v>
      </c>
      <c r="D18" t="str">
        <v>Jenifer</v>
      </c>
      <c r="E18" t="str">
        <v>Pré vendas</v>
      </c>
      <c r="F18" t="str">
        <v>Metropolitana</v>
      </c>
      <c r="G18" t="str">
        <v>Franciele</v>
      </c>
      <c r="H18" t="str">
        <v>Ofertas</v>
      </c>
    </row>
    <row r="19">
      <c r="A19">
        <v>42112</v>
      </c>
      <c r="B19" t="str">
        <v>Teve Interesse</v>
      </c>
      <c r="C19">
        <v>1575</v>
      </c>
      <c r="D19" t="str">
        <v>Jenifer</v>
      </c>
      <c r="E19" t="str">
        <v>Pré vendas</v>
      </c>
      <c r="F19" t="str">
        <v>Vale dos Sinos</v>
      </c>
      <c r="G19" t="str">
        <v>Franciele</v>
      </c>
      <c r="H19" t="str">
        <v>Ofertas</v>
      </c>
    </row>
    <row r="20">
      <c r="A20">
        <v>39734</v>
      </c>
      <c r="B20" t="str">
        <v>Sem Interesse</v>
      </c>
      <c r="C20">
        <v>1575</v>
      </c>
      <c r="D20" t="str">
        <v>Jenifer</v>
      </c>
      <c r="E20" t="str">
        <v>Pré vendas</v>
      </c>
      <c r="F20" t="str">
        <v>Vale dos Sinos</v>
      </c>
      <c r="G20" t="str">
        <v>Franciele</v>
      </c>
      <c r="H20" t="str">
        <v>Ofertas</v>
      </c>
    </row>
    <row r="21">
      <c r="A21">
        <v>36075</v>
      </c>
      <c r="B21" t="str">
        <v>Teve Interesse</v>
      </c>
      <c r="C21">
        <v>1575</v>
      </c>
      <c r="D21" t="str">
        <v>Jenifer</v>
      </c>
      <c r="E21" t="str">
        <v>Pré vendas</v>
      </c>
      <c r="F21" t="str">
        <v>Sul</v>
      </c>
      <c r="G21" t="str">
        <v>Franciele</v>
      </c>
      <c r="H21" t="str">
        <v>Ofertas</v>
      </c>
    </row>
    <row r="22">
      <c r="A22">
        <v>43434</v>
      </c>
      <c r="B22" t="str">
        <v>Teve Interesse</v>
      </c>
      <c r="C22">
        <v>1575</v>
      </c>
      <c r="D22" t="str">
        <v>Jenifer</v>
      </c>
      <c r="E22" t="str">
        <v>Pré vendas</v>
      </c>
      <c r="F22" t="str">
        <v>Sul</v>
      </c>
      <c r="G22" t="str">
        <v>Franciele</v>
      </c>
      <c r="H22" t="str">
        <v>Ofertas</v>
      </c>
    </row>
    <row r="23">
      <c r="A23">
        <v>35940</v>
      </c>
      <c r="B23" t="str">
        <v>Teve Interesse</v>
      </c>
      <c r="C23">
        <v>1575</v>
      </c>
      <c r="D23" t="str">
        <v>Jenifer</v>
      </c>
      <c r="E23" t="str">
        <v>Pré vendas</v>
      </c>
      <c r="F23" t="str">
        <v>Serra</v>
      </c>
      <c r="G23" t="str">
        <v>Franciele</v>
      </c>
      <c r="H23" t="str">
        <v>Ofertas</v>
      </c>
    </row>
    <row r="24">
      <c r="A24">
        <v>42292</v>
      </c>
      <c r="B24" t="str">
        <v>Teve Interesse</v>
      </c>
      <c r="C24">
        <v>1575</v>
      </c>
      <c r="D24" t="str">
        <v>Jenifer</v>
      </c>
      <c r="E24" t="str">
        <v>Pré vendas</v>
      </c>
      <c r="F24" t="str">
        <v>Vale dos Sinos</v>
      </c>
      <c r="G24" t="str">
        <v>Franciele</v>
      </c>
      <c r="H24" t="str">
        <v>Ofertas</v>
      </c>
    </row>
    <row r="25">
      <c r="A25">
        <v>43386</v>
      </c>
      <c r="B25" t="str">
        <v>Sem Interesse</v>
      </c>
      <c r="C25">
        <v>1575</v>
      </c>
      <c r="D25" t="str">
        <v>Jenifer</v>
      </c>
      <c r="E25" t="str">
        <v>Pré vendas</v>
      </c>
      <c r="F25" t="str">
        <v>Sul</v>
      </c>
      <c r="G25" t="str">
        <v>Franciele</v>
      </c>
      <c r="H25" t="str">
        <v>Ofertas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5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:R85"/>
  <sheetViews>
    <sheetView workbookViewId="0" rightToLeft="0"/>
  </sheetViews>
  <sheetData>
    <row r="1">
      <c r="A1" t="str">
        <v>CAMPANHA CNPJ| 20 -44 DIAS | ATIVOS</v>
      </c>
    </row>
    <row r="4">
      <c r="A4" t="str">
        <v>TEXTO DE DISPARO</v>
      </c>
    </row>
    <row r="5">
      <c r="A5" t="str">
        <v xml:space="preserve">Condição especial na MAR Food Service! Aproveite as condições da semana para manter o estoque do seu negócio sempre abastecido. Responda a esta mensagem e nossa equipe atenderá você em instantes. </v>
      </c>
    </row>
    <row r="8">
      <c r="A8" t="str">
        <v>PÚBLICO DE DISPARO</v>
      </c>
    </row>
    <row r="9" xml:space="preserve">
      <c r="A9" t="str" xml:space="preserve">
        <v xml:space="preserve">Todos_x000d_
20 à 44 dias sem compra</v>
      </c>
    </row>
    <row r="12">
      <c r="A12" t="str">
        <v>RESUMO DE DISPARO</v>
      </c>
    </row>
    <row r="13" xml:space="preserve">
      <c r="A13" t="str" xml:space="preserve">
        <v xml:space="preserve">1100 contatos totais_x000d_
312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44663</v>
      </c>
      <c r="B18" t="str">
        <v>Teve Interesse</v>
      </c>
      <c r="C18">
        <v>1445</v>
      </c>
      <c r="D18" t="str">
        <v>Larissa de Moura</v>
      </c>
      <c r="E18" t="str">
        <v>Externo</v>
      </c>
      <c r="F18" t="str">
        <v>Sul</v>
      </c>
      <c r="G18" t="str">
        <v>Moizes</v>
      </c>
      <c r="H18" t="str">
        <v>Ofertas</v>
      </c>
    </row>
    <row r="19">
      <c r="A19">
        <v>40362</v>
      </c>
      <c r="B19" t="str">
        <v>Teve Interesse</v>
      </c>
      <c r="C19">
        <v>1278</v>
      </c>
      <c r="D19" t="str">
        <v>Moacir Lopes</v>
      </c>
      <c r="E19" t="str">
        <v>Externo</v>
      </c>
      <c r="F19" t="str">
        <v>Metropolitana</v>
      </c>
      <c r="G19" t="str">
        <v>Juliano</v>
      </c>
      <c r="H19" t="str">
        <v>Ofertas</v>
      </c>
    </row>
    <row r="20">
      <c r="A20">
        <v>40333</v>
      </c>
      <c r="B20" t="str">
        <v>Sem Interesse</v>
      </c>
      <c r="C20">
        <v>9886</v>
      </c>
      <c r="D20" t="str">
        <v>Tatiana Lacerda</v>
      </c>
      <c r="E20" t="str">
        <v>Televendas</v>
      </c>
      <c r="F20" t="str">
        <v>Serra</v>
      </c>
      <c r="G20" t="str">
        <v>Jackson</v>
      </c>
      <c r="H20" t="str">
        <v>Ofertas</v>
      </c>
    </row>
    <row r="21">
      <c r="A21">
        <v>45117</v>
      </c>
      <c r="B21" t="str">
        <v>Teve Interesse</v>
      </c>
      <c r="C21">
        <v>1623</v>
      </c>
      <c r="D21" t="str">
        <v>Wagner da Silva</v>
      </c>
      <c r="E21" t="str">
        <v>Externo</v>
      </c>
      <c r="F21" t="str">
        <v>Vale dos Sinos</v>
      </c>
      <c r="G21" t="str">
        <v>Leonardo</v>
      </c>
      <c r="H21" t="str">
        <v>Ofertas</v>
      </c>
    </row>
    <row r="22">
      <c r="A22">
        <v>39991</v>
      </c>
      <c r="B22" t="str">
        <v>Sem Interesse</v>
      </c>
      <c r="H22" t="str">
        <v>Ofertas</v>
      </c>
    </row>
    <row r="23">
      <c r="A23">
        <v>24412</v>
      </c>
      <c r="B23" t="str">
        <v>Sem Interesse</v>
      </c>
      <c r="H23" t="str">
        <v>Ofertas</v>
      </c>
    </row>
    <row r="24">
      <c r="A24">
        <v>45665</v>
      </c>
      <c r="B24" t="str">
        <v>Com Interesse</v>
      </c>
      <c r="D24" t="str">
        <v>Bruno Santos</v>
      </c>
      <c r="E24" t="str">
        <v>Externo</v>
      </c>
      <c r="F24" t="str">
        <v>Litoral</v>
      </c>
      <c r="H24" t="str">
        <v>Ofertas</v>
      </c>
    </row>
    <row r="25">
      <c r="A25">
        <v>45469</v>
      </c>
      <c r="B25" t="str">
        <v>Com Interesse</v>
      </c>
      <c r="D25" t="str">
        <v>Gislaine Muller</v>
      </c>
      <c r="E25" t="str">
        <v>Externo</v>
      </c>
      <c r="F25" t="str">
        <v>Vale dos SInos</v>
      </c>
      <c r="G25" t="str">
        <v>Leonardo</v>
      </c>
      <c r="H25" t="str">
        <v>Ofertas</v>
      </c>
    </row>
    <row r="26">
      <c r="A26">
        <v>45591</v>
      </c>
      <c r="B26" t="str">
        <v>Com Interesse</v>
      </c>
      <c r="D26" t="str">
        <v>Carlos Alberto</v>
      </c>
      <c r="E26" t="str">
        <v>Externo</v>
      </c>
      <c r="F26" t="str">
        <v>Sul</v>
      </c>
      <c r="G26" t="str">
        <v>Moizes</v>
      </c>
      <c r="H26" t="str">
        <v>Ofertas</v>
      </c>
    </row>
    <row r="27">
      <c r="A27">
        <v>37151</v>
      </c>
      <c r="B27" t="str">
        <v>Com Interesse</v>
      </c>
      <c r="D27" t="str">
        <v>Cristielen</v>
      </c>
      <c r="E27" t="str">
        <v>Televendas</v>
      </c>
      <c r="F27" t="str">
        <v>Vale dos SInos</v>
      </c>
      <c r="G27" t="str">
        <v>Franciele</v>
      </c>
      <c r="H27" t="str">
        <v>Ofertas</v>
      </c>
    </row>
    <row r="28">
      <c r="A28">
        <v>25598</v>
      </c>
      <c r="B28" t="str">
        <v>Sem Interesse</v>
      </c>
      <c r="H28" t="str">
        <v>Ofertas</v>
      </c>
    </row>
    <row r="29">
      <c r="A29">
        <v>39096</v>
      </c>
      <c r="B29" t="str">
        <v>Sem Interesse</v>
      </c>
      <c r="H29" t="str">
        <v>Ofertas</v>
      </c>
    </row>
    <row r="30">
      <c r="A30">
        <v>45304</v>
      </c>
      <c r="B30" t="str">
        <v>Com Interesse</v>
      </c>
      <c r="D30" t="str">
        <v>Jose Carlos</v>
      </c>
      <c r="E30" t="str">
        <v>Externo</v>
      </c>
      <c r="F30" t="str">
        <v>Serra</v>
      </c>
      <c r="G30" t="str">
        <v>Jackson</v>
      </c>
      <c r="H30" t="str">
        <v>Ofertas</v>
      </c>
    </row>
    <row r="31">
      <c r="A31">
        <v>42285</v>
      </c>
      <c r="B31" t="str">
        <v>Com Interesse</v>
      </c>
      <c r="D31" t="str">
        <v>Camila Arruda</v>
      </c>
      <c r="E31" t="str">
        <v>Televendas</v>
      </c>
      <c r="F31" t="str">
        <v>Sul</v>
      </c>
      <c r="G31" t="str">
        <v>Franciele</v>
      </c>
      <c r="H31" t="str">
        <v>Ofertas</v>
      </c>
    </row>
    <row r="32">
      <c r="A32">
        <v>41236</v>
      </c>
      <c r="B32" t="str">
        <v>Com Interesse</v>
      </c>
      <c r="D32" t="str">
        <v>Jairo Costa</v>
      </c>
      <c r="E32" t="str">
        <v>Externo</v>
      </c>
      <c r="F32" t="str">
        <v>Sul</v>
      </c>
      <c r="G32" t="str">
        <v>Moizess</v>
      </c>
      <c r="H32" t="str">
        <v>Ofertas</v>
      </c>
    </row>
    <row r="33">
      <c r="A33">
        <v>35304</v>
      </c>
      <c r="B33" t="str">
        <v>Com Interesse</v>
      </c>
      <c r="D33" t="str">
        <v>Victor Hugo</v>
      </c>
      <c r="E33" t="str">
        <v>Externo</v>
      </c>
      <c r="F33" t="str">
        <v>Vale dos SInos</v>
      </c>
      <c r="G33" t="str">
        <v>Leonardo</v>
      </c>
      <c r="H33" t="str">
        <v>Ofertas</v>
      </c>
    </row>
    <row r="34">
      <c r="A34">
        <v>42360</v>
      </c>
      <c r="B34" t="str">
        <v>Com Interesse</v>
      </c>
      <c r="D34" t="str">
        <v>Wagner da Silva</v>
      </c>
      <c r="E34" t="str">
        <v>Externo</v>
      </c>
      <c r="F34" t="str">
        <v>Vale dos SInos</v>
      </c>
      <c r="G34" t="str">
        <v>Leonardo</v>
      </c>
      <c r="H34" t="str">
        <v>Ofertas</v>
      </c>
    </row>
    <row r="35">
      <c r="A35">
        <v>20828</v>
      </c>
      <c r="B35" t="str">
        <v>Com Interesse</v>
      </c>
      <c r="D35" t="str">
        <v>Tatiana Lacerda</v>
      </c>
      <c r="E35" t="str">
        <v>Televendas</v>
      </c>
      <c r="F35" t="str">
        <v>Serra</v>
      </c>
      <c r="G35" t="str">
        <v>Franciele</v>
      </c>
      <c r="H35" t="str">
        <v>Ofertas</v>
      </c>
    </row>
    <row r="36">
      <c r="A36">
        <v>29950</v>
      </c>
      <c r="B36" t="str">
        <v>Com Interesse</v>
      </c>
      <c r="D36" t="str">
        <v>Paulo Renato</v>
      </c>
      <c r="E36" t="str">
        <v>Externo</v>
      </c>
      <c r="F36" t="str">
        <v>Litoral</v>
      </c>
      <c r="G36" t="str">
        <v>Muriel</v>
      </c>
      <c r="H36" t="str">
        <v>Ofertas</v>
      </c>
    </row>
    <row r="37">
      <c r="A37">
        <v>30503</v>
      </c>
      <c r="B37" t="str">
        <v>Com Interesse</v>
      </c>
      <c r="D37" t="str">
        <v>Tatiana Lacerda</v>
      </c>
      <c r="F37" t="str">
        <v>Serra</v>
      </c>
      <c r="G37" t="str">
        <v>Franciele</v>
      </c>
      <c r="H37" t="str">
        <v>Ofertas</v>
      </c>
    </row>
    <row r="38">
      <c r="A38">
        <v>43612</v>
      </c>
      <c r="B38" t="str">
        <v>Com Interesse</v>
      </c>
      <c r="D38" t="str">
        <v>Evandro da Costa</v>
      </c>
      <c r="E38" t="str">
        <v>Externo</v>
      </c>
      <c r="F38" t="str">
        <v>Serra</v>
      </c>
      <c r="G38" t="str">
        <v>Jackson</v>
      </c>
      <c r="H38" t="str">
        <v>Ofertas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5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R84"/>
  <sheetViews>
    <sheetView workbookViewId="0" rightToLeft="0"/>
  </sheetViews>
  <sheetData>
    <row r="1">
      <c r="A1" t="str">
        <v>CAMPANHA SUPER VOUCHER| 45-120 DIAS | TELEVENDAS</v>
      </c>
    </row>
    <row r="4">
      <c r="A4" t="str">
        <v>TEXTO DE DISPARO</v>
      </c>
    </row>
    <row r="5">
      <c r="A5" t="str">
        <v xml:space="preserve">Seu benefício exclusivo está quase liberado! Basta responder este card para conhecer nosso mix de produtos e desbloquear uma condição especial para sua próxima compra. 👉 Responda "QUERO". </v>
      </c>
    </row>
    <row r="8">
      <c r="A8" t="str">
        <v>PÚBLICO DE DISPARO</v>
      </c>
    </row>
    <row r="9" xml:space="preserve">
      <c r="A9" t="str" xml:space="preserve">
        <v xml:space="preserve">Todos_x000d_
45 à 120 dias sem compra</v>
      </c>
    </row>
    <row r="12">
      <c r="A12" t="str">
        <v>RESUMO DE DISPARO</v>
      </c>
    </row>
    <row r="13" xml:space="preserve">
      <c r="A13" t="str" xml:space="preserve">
        <v xml:space="preserve">1166 contatos totais_x000d_
310 contatos receberam </v>
      </c>
    </row>
    <row r="16">
      <c r="A16" t="str">
        <v>DETALHES</v>
      </c>
    </row>
    <row r="17">
      <c r="A17" t="str">
        <v>ID</v>
      </c>
      <c r="B17" t="str">
        <v>RESPOSTA</v>
      </c>
      <c r="C17" t="str">
        <v>COD|RCA</v>
      </c>
      <c r="D17" t="str">
        <v>RESPONSAVEL</v>
      </c>
      <c r="E17" t="str">
        <v>SETOR</v>
      </c>
      <c r="F17" t="str">
        <v>REGIÃO</v>
      </c>
      <c r="G17" t="str">
        <v>SUPERVISOR</v>
      </c>
      <c r="H17" t="str">
        <v>CAMPANHA</v>
      </c>
      <c r="I17" t="str">
        <v>DATA</v>
      </c>
      <c r="J17" t="str">
        <v>COMPRA</v>
      </c>
      <c r="K17" t="str">
        <v>VALOR</v>
      </c>
    </row>
    <row r="18">
      <c r="A18">
        <v>44501</v>
      </c>
      <c r="B18" t="str">
        <v>Teve Interesse</v>
      </c>
      <c r="D18" t="str">
        <v>Jenifer Rodrigues</v>
      </c>
      <c r="E18" t="str">
        <v>Pré Vendas</v>
      </c>
      <c r="G18" t="str">
        <v>Franciele</v>
      </c>
      <c r="H18" t="str">
        <v>Super Voucher</v>
      </c>
      <c r="I18">
        <v>46212</v>
      </c>
    </row>
    <row r="19">
      <c r="A19">
        <v>44442</v>
      </c>
      <c r="B19" t="str">
        <v>Teve Interesse</v>
      </c>
      <c r="C19">
        <v>1596</v>
      </c>
      <c r="D19" t="str">
        <v>Ariane Quebao</v>
      </c>
      <c r="E19" t="str">
        <v>Pré Vendas</v>
      </c>
      <c r="F19" t="str">
        <v>Sul</v>
      </c>
      <c r="G19" t="str">
        <v>Franciele</v>
      </c>
      <c r="H19" t="str">
        <v>Super Voucher</v>
      </c>
      <c r="I19">
        <v>46212</v>
      </c>
    </row>
    <row r="20">
      <c r="A20">
        <v>41235</v>
      </c>
      <c r="B20" t="str">
        <v>Teve Interesse</v>
      </c>
      <c r="C20">
        <v>9886</v>
      </c>
      <c r="D20" t="str">
        <v>Tatiana Lacerda</v>
      </c>
      <c r="E20" t="str">
        <v>Pré Vendas</v>
      </c>
      <c r="F20" t="str">
        <v>Serra</v>
      </c>
      <c r="G20" t="str">
        <v>Franciele</v>
      </c>
      <c r="H20" t="str">
        <v>Super Voucher</v>
      </c>
      <c r="I20">
        <v>46212</v>
      </c>
    </row>
    <row r="21">
      <c r="A21">
        <v>41723</v>
      </c>
      <c r="B21" t="str">
        <v>Teve Interesse</v>
      </c>
      <c r="C21">
        <v>1464</v>
      </c>
      <c r="D21" t="str">
        <v>Camila Arruda</v>
      </c>
      <c r="E21" t="str">
        <v>Pré Vendas</v>
      </c>
      <c r="F21" t="str">
        <v>Sul</v>
      </c>
      <c r="G21" t="str">
        <v>Franciele</v>
      </c>
      <c r="H21" t="str">
        <v>Super Voucher</v>
      </c>
      <c r="I21">
        <v>46212</v>
      </c>
    </row>
    <row r="22">
      <c r="A22">
        <v>42952</v>
      </c>
      <c r="B22" t="str">
        <v>Teve Interesse</v>
      </c>
      <c r="C22">
        <v>9886</v>
      </c>
      <c r="D22" t="str">
        <v>Tatiana Lacerda</v>
      </c>
      <c r="E22" t="str">
        <v>Pré Vendas</v>
      </c>
      <c r="F22" t="str">
        <v>Serra</v>
      </c>
      <c r="G22" t="str">
        <v>Franciele</v>
      </c>
      <c r="H22" t="str">
        <v>Super Voucher</v>
      </c>
      <c r="I22">
        <v>46212</v>
      </c>
    </row>
  </sheetData>
  <mergeCells count="8">
    <mergeCell ref="A13:N14"/>
    <mergeCell ref="A16:R16"/>
    <mergeCell ref="A1:R1"/>
    <mergeCell ref="A4:N4"/>
    <mergeCell ref="A5:N6"/>
    <mergeCell ref="A8:N8"/>
    <mergeCell ref="A9:N10"/>
    <mergeCell ref="A12:N12"/>
  </mergeCells>
  <pageMargins left="0.7" right="0.7" top="0.75" bottom="0.75" header="0.3" footer="0.3"/>
  <ignoredErrors>
    <ignoredError numberStoredAsText="1" sqref="A1:R84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R495"/>
  <sheetViews>
    <sheetView workbookViewId="0" rightToLeft="0"/>
  </sheetViews>
  <sheetData>
    <row r="1">
      <c r="A1" t="str">
        <v>ID</v>
      </c>
      <c r="B1" t="str">
        <v>RESPOSTA</v>
      </c>
      <c r="C1" t="str">
        <v>COD|RCA</v>
      </c>
      <c r="D1" t="str">
        <v>RESPONSAVEL</v>
      </c>
      <c r="E1" t="str">
        <v>SETOR</v>
      </c>
      <c r="F1" t="str">
        <v>REGIÃO</v>
      </c>
      <c r="G1" t="str">
        <v>SUPERVISOR</v>
      </c>
      <c r="H1" t="str">
        <v>CAMPANHA</v>
      </c>
      <c r="I1" t="str">
        <v>DATA</v>
      </c>
      <c r="J1" t="str">
        <v>COMPRA</v>
      </c>
      <c r="K1" t="str">
        <v>VALOR</v>
      </c>
      <c r="L1" t="str">
        <v xml:space="preserve">OBSERVAÇÃO </v>
      </c>
      <c r="M1" t="str">
        <v/>
      </c>
      <c r="N1" t="str">
        <v>CAMPANHA</v>
      </c>
      <c r="O1" t="str">
        <v>Data</v>
      </c>
      <c r="P1" t="str">
        <v>Total de clientes</v>
      </c>
      <c r="Q1" t="str">
        <v>Receberam</v>
      </c>
      <c r="R1" t="str">
        <v>SLUG</v>
      </c>
    </row>
    <row r="2">
      <c r="A2">
        <v>22921</v>
      </c>
      <c r="B2" t="str">
        <v>Teve Interesse</v>
      </c>
      <c r="C2">
        <v>1575</v>
      </c>
      <c r="D2" t="str">
        <v>Jenifer Rodrigues</v>
      </c>
      <c r="E2" t="str">
        <v>Televendas</v>
      </c>
      <c r="F2" t="str">
        <v>Geral</v>
      </c>
      <c r="G2" t="str">
        <v>Franciele</v>
      </c>
      <c r="H2" t="str">
        <v>AÇAÍ | 45-120 DIAS | TELEVENDAS</v>
      </c>
      <c r="I2">
        <v>46195</v>
      </c>
      <c r="J2" t="str">
        <v>Não</v>
      </c>
      <c r="K2" t="str">
        <v/>
      </c>
      <c r="L2" t="str">
        <v/>
      </c>
      <c r="M2" t="str">
        <v/>
      </c>
      <c r="N2" t="str">
        <v>VOUCHER | 45-89 DIAS | TELEVENDAS</v>
      </c>
      <c r="O2">
        <v>46183</v>
      </c>
      <c r="P2">
        <v>1539</v>
      </c>
      <c r="Q2">
        <v>643</v>
      </c>
      <c r="R2" t="str">
        <v>10062026_VOUCHER_TV_45_89</v>
      </c>
    </row>
    <row r="3">
      <c r="A3">
        <v>28483</v>
      </c>
      <c r="B3" t="str">
        <v>Teve Interesse</v>
      </c>
      <c r="C3">
        <v>1575</v>
      </c>
      <c r="D3" t="str">
        <v>Jenifer Rodrigues</v>
      </c>
      <c r="E3" t="str">
        <v>Televendas</v>
      </c>
      <c r="F3" t="str">
        <v>Geral</v>
      </c>
      <c r="G3" t="str">
        <v>Franciele</v>
      </c>
      <c r="H3" t="str">
        <v>AÇAÍ | 45-120 DIAS | TELEVENDAS</v>
      </c>
      <c r="I3">
        <v>46195</v>
      </c>
      <c r="J3" t="str">
        <v>Não</v>
      </c>
      <c r="K3" t="str">
        <v>-</v>
      </c>
      <c r="L3" t="str">
        <v/>
      </c>
      <c r="M3" t="str">
        <v/>
      </c>
      <c r="N3" t="str">
        <v>BATATAS | 45-120 DIAS | TELEVENDAS</v>
      </c>
      <c r="O3">
        <v>46191</v>
      </c>
      <c r="P3">
        <v>3989</v>
      </c>
      <c r="Q3">
        <v>1269</v>
      </c>
      <c r="R3" t="str">
        <v>18062026_BATATAS_TV_45_120</v>
      </c>
    </row>
    <row r="4">
      <c r="A4">
        <v>31773</v>
      </c>
      <c r="B4" t="str">
        <v>Teve Interesse</v>
      </c>
      <c r="C4">
        <v>1575</v>
      </c>
      <c r="D4" t="str">
        <v>Jenifer Rodrigues</v>
      </c>
      <c r="E4" t="str">
        <v>Televendas</v>
      </c>
      <c r="F4" t="str">
        <v>Geral</v>
      </c>
      <c r="G4" t="str">
        <v>Franciele</v>
      </c>
      <c r="H4" t="str">
        <v>AÇAÍ | 45-120 DIAS | TELEVENDAS</v>
      </c>
      <c r="I4">
        <v>46195</v>
      </c>
      <c r="J4" t="str">
        <v>Sim</v>
      </c>
      <c r="K4">
        <v>165.8</v>
      </c>
      <c r="L4" t="str">
        <v/>
      </c>
      <c r="M4" t="str">
        <v/>
      </c>
      <c r="N4" t="str">
        <v>AÇAÍ | 45-120 DIAS | TELEVENDAS</v>
      </c>
      <c r="O4">
        <v>46195</v>
      </c>
      <c r="P4">
        <v>333</v>
      </c>
      <c r="Q4">
        <v>160</v>
      </c>
      <c r="R4" t="str">
        <v>22062026_ACAI_TV_45_120</v>
      </c>
    </row>
    <row r="5">
      <c r="A5">
        <v>34108</v>
      </c>
      <c r="B5" t="str">
        <v>Teve Interesse</v>
      </c>
      <c r="C5">
        <v>1211</v>
      </c>
      <c r="D5" t="str">
        <v>Cristielen da Silva</v>
      </c>
      <c r="E5" t="str">
        <v>Televendas</v>
      </c>
      <c r="F5" t="str">
        <v>Vale dos Sinos</v>
      </c>
      <c r="G5" t="str">
        <v>Franciele</v>
      </c>
      <c r="H5" t="str">
        <v>AÇAÍ | 45-120 DIAS | TELEVENDAS</v>
      </c>
      <c r="I5">
        <v>46195</v>
      </c>
      <c r="J5" t="str">
        <v>Sim</v>
      </c>
      <c r="K5">
        <v>215.8</v>
      </c>
      <c r="L5" t="str">
        <v/>
      </c>
      <c r="M5" t="str">
        <v/>
      </c>
      <c r="N5" t="str">
        <v>CAMPANHA BATATA| 45-120 DIAS | TELEVENDAS</v>
      </c>
      <c r="O5">
        <v>46196</v>
      </c>
      <c r="P5">
        <v>897</v>
      </c>
      <c r="Q5">
        <v>301</v>
      </c>
      <c r="R5" t="str">
        <v>23062026_BATATA_TV_45_120</v>
      </c>
    </row>
    <row r="6">
      <c r="A6">
        <v>38271</v>
      </c>
      <c r="B6" t="str">
        <v>Teve Interesse</v>
      </c>
      <c r="C6">
        <v>1575</v>
      </c>
      <c r="D6" t="str">
        <v>Jenifer Rodrigues</v>
      </c>
      <c r="E6" t="str">
        <v>Televendas</v>
      </c>
      <c r="F6" t="str">
        <v>Geral</v>
      </c>
      <c r="G6" t="str">
        <v>Franciele</v>
      </c>
      <c r="H6" t="str">
        <v>AÇAÍ | 45-120 DIAS | TELEVENDAS</v>
      </c>
      <c r="I6">
        <v>46195</v>
      </c>
      <c r="J6" t="str">
        <v>Não</v>
      </c>
      <c r="K6" t="str">
        <v>-</v>
      </c>
      <c r="L6" t="str">
        <v/>
      </c>
      <c r="M6" t="str">
        <v/>
      </c>
      <c r="N6" t="str">
        <v>COPA | 20-44 DIAS | REPRESENTANTES</v>
      </c>
      <c r="O6">
        <v>46197</v>
      </c>
      <c r="P6">
        <v>370</v>
      </c>
      <c r="Q6">
        <v>183</v>
      </c>
      <c r="R6" t="str">
        <v>24062026_COPA_RP_20_44</v>
      </c>
    </row>
    <row r="7">
      <c r="A7">
        <v>39696</v>
      </c>
      <c r="B7" t="str">
        <v>Teve Interesse</v>
      </c>
      <c r="C7">
        <v>1575</v>
      </c>
      <c r="D7" t="str">
        <v>Jenifer Rodrigues</v>
      </c>
      <c r="E7" t="str">
        <v>Televendas</v>
      </c>
      <c r="F7" t="str">
        <v>Geral</v>
      </c>
      <c r="G7" t="str">
        <v>Franciele</v>
      </c>
      <c r="H7" t="str">
        <v>AÇAÍ | 45-120 DIAS | TELEVENDAS</v>
      </c>
      <c r="I7">
        <v>46195</v>
      </c>
      <c r="J7" t="str">
        <v>Não</v>
      </c>
      <c r="K7" t="str">
        <v/>
      </c>
      <c r="L7" t="str">
        <v/>
      </c>
      <c r="M7" t="str">
        <v/>
      </c>
      <c r="N7" t="str">
        <v>DIA DO AÇAÍ | 45-120 DIAS | TELEVENDAS</v>
      </c>
      <c r="O7">
        <v>46198</v>
      </c>
      <c r="P7">
        <v>1164</v>
      </c>
      <c r="Q7">
        <v>812</v>
      </c>
      <c r="R7" t="str">
        <v>25062026_DIADOACAI_TV_45_120</v>
      </c>
    </row>
    <row r="8">
      <c r="A8">
        <v>42764</v>
      </c>
      <c r="B8" t="str">
        <v>Teve Interesse</v>
      </c>
      <c r="C8">
        <v>1575</v>
      </c>
      <c r="D8" t="str">
        <v>Jenifer Rodrigues</v>
      </c>
      <c r="E8" t="str">
        <v>Televendas</v>
      </c>
      <c r="F8" t="str">
        <v>Geral</v>
      </c>
      <c r="G8" t="str">
        <v>Franciele</v>
      </c>
      <c r="H8" t="str">
        <v>AÇAÍ | 45-120 DIAS | TELEVENDAS</v>
      </c>
      <c r="I8">
        <v>46195</v>
      </c>
      <c r="J8" t="str">
        <v>Não</v>
      </c>
      <c r="K8" t="str">
        <v/>
      </c>
      <c r="L8" t="str">
        <v/>
      </c>
      <c r="M8" t="str">
        <v/>
      </c>
      <c r="N8" t="str">
        <v>DIA DO AÇAÍ | 45-120 DIAS | TELEVENDAS</v>
      </c>
      <c r="O8">
        <v>46199</v>
      </c>
      <c r="P8">
        <v>738</v>
      </c>
      <c r="Q8">
        <v>430</v>
      </c>
      <c r="R8" t="str">
        <v>26062026_DIADOACAI_TV_45_120</v>
      </c>
    </row>
    <row r="9">
      <c r="A9">
        <v>39025</v>
      </c>
      <c r="B9" t="str">
        <v>Teve Interesse</v>
      </c>
      <c r="C9">
        <v>1575</v>
      </c>
      <c r="D9" t="str">
        <v>Jenifer Rodrigues</v>
      </c>
      <c r="E9" t="str">
        <v>Televendas</v>
      </c>
      <c r="F9" t="str">
        <v>Geral</v>
      </c>
      <c r="G9" t="str">
        <v>Franciele</v>
      </c>
      <c r="H9" t="str">
        <v xml:space="preserve">CAMPANHA BATATA| 45-120 DIAS | TELEVENDAS																	</v>
      </c>
      <c r="I9">
        <v>46196</v>
      </c>
      <c r="J9" t="str">
        <v>Não</v>
      </c>
      <c r="K9" t="str">
        <v/>
      </c>
      <c r="L9" t="str">
        <v/>
      </c>
      <c r="M9" t="str">
        <v/>
      </c>
      <c r="N9" t="str">
        <v>CAMPANHA FECHAMENTO DO MÊS | 45-89 DIAS | TELEVENDAS</v>
      </c>
      <c r="O9">
        <v>46202</v>
      </c>
      <c r="P9">
        <v>77</v>
      </c>
      <c r="Q9">
        <v>31</v>
      </c>
      <c r="R9" t="str">
        <v>29062026_FECHAMENTO_TV_45_89</v>
      </c>
    </row>
    <row r="10">
      <c r="A10">
        <v>40089</v>
      </c>
      <c r="B10" t="str">
        <v>Teve Interesse</v>
      </c>
      <c r="C10">
        <v>9886</v>
      </c>
      <c r="D10" t="str">
        <v>Tatiana | Serra</v>
      </c>
      <c r="E10" t="str">
        <v>Televendas</v>
      </c>
      <c r="F10" t="str">
        <v>Serra</v>
      </c>
      <c r="G10" t="str">
        <v>Franciele</v>
      </c>
      <c r="H10" t="str">
        <v xml:space="preserve">CAMPANHA BATATA| 45-120 DIAS | TELEVENDAS																	</v>
      </c>
      <c r="I10">
        <v>46196</v>
      </c>
      <c r="J10" t="str">
        <v>Não</v>
      </c>
      <c r="K10" t="str">
        <v/>
      </c>
      <c r="L10" t="str">
        <v/>
      </c>
      <c r="M10" t="str">
        <v/>
      </c>
      <c r="N10" t="str">
        <v>PROSPECÇÃO CNPJ | 45-365 DIAS | TELEVENDAS</v>
      </c>
      <c r="O10">
        <v>46203</v>
      </c>
      <c r="P10">
        <v>2441</v>
      </c>
      <c r="Q10">
        <v>880</v>
      </c>
      <c r="R10" t="str">
        <v>30062026_PROSPECCAO_TV_45_365</v>
      </c>
    </row>
    <row r="11">
      <c r="A11">
        <v>42866</v>
      </c>
      <c r="B11" t="str">
        <v>Teve Interesse</v>
      </c>
      <c r="C11">
        <v>6127</v>
      </c>
      <c r="D11" t="str">
        <v>Paulo Renato</v>
      </c>
      <c r="E11" t="str">
        <v>Televendas</v>
      </c>
      <c r="F11" t="str">
        <v>Litoral</v>
      </c>
      <c r="G11" t="str">
        <v>Franciele</v>
      </c>
      <c r="H11" t="str">
        <v xml:space="preserve">CAMPANHA BATATA| 45-120 DIAS | TELEVENDAS																	</v>
      </c>
      <c r="I11">
        <v>46196</v>
      </c>
      <c r="J11" t="str">
        <v>Sim</v>
      </c>
      <c r="K11">
        <v>926.8</v>
      </c>
      <c r="L11" t="str">
        <v/>
      </c>
      <c r="M11" t="str">
        <v/>
      </c>
      <c r="N11" t="str">
        <v>CAMPANHA BRASIL VENCEU | 20-44 DIAS | REPRESENTANTES</v>
      </c>
      <c r="O11">
        <v>46203</v>
      </c>
      <c r="P11">
        <v>984</v>
      </c>
      <c r="Q11">
        <v>314</v>
      </c>
      <c r="R11" t="str">
        <v>30062026_BRASILVENC_RP_20_44</v>
      </c>
    </row>
    <row r="12">
      <c r="A12">
        <v>2738</v>
      </c>
      <c r="B12" t="str">
        <v>Teve Interesse</v>
      </c>
      <c r="C12">
        <v>1596</v>
      </c>
      <c r="D12" t="str">
        <v>Ariane Quebao</v>
      </c>
      <c r="E12" t="str">
        <v>Televendas</v>
      </c>
      <c r="F12" t="str">
        <v>Grande POA</v>
      </c>
      <c r="G12" t="str">
        <v>Franciele</v>
      </c>
      <c r="H12" t="str">
        <v>COPA | 20-44 DIAS | REPRESENTANTES</v>
      </c>
      <c r="I12">
        <v>46197</v>
      </c>
      <c r="J12" t="str">
        <v>Não</v>
      </c>
      <c r="K12" t="str">
        <v/>
      </c>
      <c r="L12" t="str">
        <v/>
      </c>
      <c r="M12" t="str">
        <v/>
      </c>
      <c r="N12" t="str">
        <v>VOUCHER | 45-365 DIAS | TELEVENDAS</v>
      </c>
      <c r="O12">
        <v>46204</v>
      </c>
      <c r="P12">
        <v>1395</v>
      </c>
      <c r="Q12">
        <v>742</v>
      </c>
      <c r="R12" t="str">
        <v>01072026_VOUCHER_TV_45_365</v>
      </c>
    </row>
    <row r="13">
      <c r="A13">
        <v>2753</v>
      </c>
      <c r="B13" t="str">
        <v>Teve Interesse</v>
      </c>
      <c r="C13">
        <v>1518</v>
      </c>
      <c r="D13" t="str">
        <v>Henrique Godinho</v>
      </c>
      <c r="E13" t="str">
        <v>Externo</v>
      </c>
      <c r="F13" t="str">
        <v>Grande POA</v>
      </c>
      <c r="G13" t="str">
        <v>Juliano</v>
      </c>
      <c r="H13" t="str">
        <v>COPA | 20-44 DIAS | REPRESENTANTES</v>
      </c>
      <c r="I13">
        <v>46197</v>
      </c>
      <c r="J13" t="str">
        <v>Não</v>
      </c>
      <c r="K13" t="str">
        <v/>
      </c>
      <c r="L13" t="str">
        <v/>
      </c>
      <c r="M13" t="str">
        <v/>
      </c>
      <c r="N13" t="str">
        <v>VOLTE A COMPRAR | 20-44 DIAS | REPRESENTANTES</v>
      </c>
      <c r="O13">
        <v>46205</v>
      </c>
      <c r="P13">
        <v>963</v>
      </c>
      <c r="Q13">
        <v>406</v>
      </c>
      <c r="R13" t="str">
        <v>02072026_VOLTEACOMP_RP_20_44</v>
      </c>
    </row>
    <row r="14">
      <c r="A14">
        <v>7862</v>
      </c>
      <c r="B14" t="str">
        <v>Teve Interesse</v>
      </c>
      <c r="C14">
        <v>9839</v>
      </c>
      <c r="D14" t="str">
        <v>Timoteo Hellwing</v>
      </c>
      <c r="E14" t="str">
        <v>Externo</v>
      </c>
      <c r="F14" t="str">
        <v>Sul</v>
      </c>
      <c r="G14" t="str">
        <v>Moizes</v>
      </c>
      <c r="H14" t="str">
        <v>COPA | 20-44 DIAS | REPRESENTANTES</v>
      </c>
      <c r="I14">
        <v>46197</v>
      </c>
      <c r="J14" t="str">
        <v>Sim</v>
      </c>
      <c r="K14">
        <v>427.46</v>
      </c>
      <c r="L14" t="str">
        <v/>
      </c>
      <c r="M14" t="str">
        <v/>
      </c>
      <c r="N14" t="str">
        <v>AÇAÍ | 45-120 DIAS | TELEVENDAS</v>
      </c>
      <c r="O14">
        <v>46206</v>
      </c>
      <c r="P14">
        <v>986</v>
      </c>
      <c r="Q14">
        <v>358</v>
      </c>
      <c r="R14" t="str">
        <v>03072026_ACAI_TV_45_120</v>
      </c>
    </row>
    <row r="15">
      <c r="A15">
        <v>15571</v>
      </c>
      <c r="B15" t="str">
        <v>Teve Interesse</v>
      </c>
      <c r="C15">
        <v>9937</v>
      </c>
      <c r="D15" t="str">
        <v>Gislaine Muller</v>
      </c>
      <c r="E15" t="str">
        <v>Externo</v>
      </c>
      <c r="F15" t="str">
        <v>Vale dos Sinos</v>
      </c>
      <c r="G15" t="str">
        <v>Leonardo</v>
      </c>
      <c r="H15" t="str">
        <v>COPA | 20-44 DIAS | REPRESENTANTES</v>
      </c>
      <c r="I15">
        <v>46197</v>
      </c>
      <c r="J15" t="str">
        <v>Sim</v>
      </c>
      <c r="K15">
        <v>188.51</v>
      </c>
      <c r="L15" t="str">
        <v/>
      </c>
      <c r="M15" t="str">
        <v/>
      </c>
      <c r="N15" t="str">
        <v>CAMPANHA AÇAÍ | 20-44 DIAS | REPRESENTANTES</v>
      </c>
      <c r="O15">
        <v>46209</v>
      </c>
      <c r="P15">
        <v>904</v>
      </c>
      <c r="Q15">
        <v>328</v>
      </c>
      <c r="R15" t="str">
        <v>06072026_ACAI_RP_20_44</v>
      </c>
    </row>
    <row r="16">
      <c r="A16">
        <v>16379</v>
      </c>
      <c r="B16" t="str">
        <v>Teve Interesse</v>
      </c>
      <c r="C16">
        <v>9863</v>
      </c>
      <c r="D16" t="str">
        <v>Rose - Nelvara</v>
      </c>
      <c r="E16" t="str">
        <v>Externo</v>
      </c>
      <c r="F16" t="str">
        <v>Sul</v>
      </c>
      <c r="G16" t="str">
        <v>Moizes</v>
      </c>
      <c r="H16" t="str">
        <v>COPA | 20-44 DIAS | REPRESENTANTES</v>
      </c>
      <c r="I16">
        <v>46197</v>
      </c>
      <c r="J16" t="str">
        <v>Sim</v>
      </c>
      <c r="K16">
        <v>497.53</v>
      </c>
      <c r="L16" t="str">
        <v/>
      </c>
      <c r="M16" t="str">
        <v/>
      </c>
      <c r="N16" t="str">
        <v>CAMPANHA AÇAÍ | 20-44 DIAS | TELEVENDAS</v>
      </c>
      <c r="O16">
        <v>46209</v>
      </c>
      <c r="P16">
        <v>1436</v>
      </c>
      <c r="Q16">
        <v>628</v>
      </c>
      <c r="R16" t="str">
        <v>06072026_ACAI_TV_20_44</v>
      </c>
    </row>
    <row r="17">
      <c r="A17">
        <v>24553</v>
      </c>
      <c r="B17" t="str">
        <v>Teve Interesse</v>
      </c>
      <c r="C17">
        <v>1150</v>
      </c>
      <c r="D17" t="str">
        <v>Nei Xavier</v>
      </c>
      <c r="E17" t="str">
        <v>Externo</v>
      </c>
      <c r="F17" t="str">
        <v>Grande POA</v>
      </c>
      <c r="G17" t="str">
        <v>Juliano</v>
      </c>
      <c r="H17" t="str">
        <v>COPA | 20-44 DIAS | REPRESENTANTES</v>
      </c>
      <c r="I17">
        <v>46197</v>
      </c>
      <c r="J17" t="str">
        <v>Sim</v>
      </c>
      <c r="K17">
        <v>561.78</v>
      </c>
      <c r="L17" t="str">
        <v/>
      </c>
      <c r="M17" t="str">
        <v/>
      </c>
      <c r="N17" t="str">
        <v>CAMPANHA CNPJ| 44-365 DIAS | TELEVENDAS</v>
      </c>
      <c r="O17">
        <v>46210</v>
      </c>
      <c r="P17">
        <v>3561</v>
      </c>
      <c r="Q17">
        <v>1558</v>
      </c>
      <c r="R17" t="str">
        <v>07072026_CNPJ_TV_44_365</v>
      </c>
    </row>
    <row r="18">
      <c r="A18">
        <v>27951</v>
      </c>
      <c r="B18" t="str">
        <v>Teve Interesse</v>
      </c>
      <c r="C18">
        <v>1217</v>
      </c>
      <c r="D18" t="str">
        <v>Raquel Ricardo</v>
      </c>
      <c r="E18" t="str">
        <v>Externo</v>
      </c>
      <c r="F18" t="str">
        <v>Vale dos Sinos</v>
      </c>
      <c r="G18" t="str">
        <v>Leonardo</v>
      </c>
      <c r="H18" t="str">
        <v>COPA | 20-44 DIAS | REPRESENTANTES</v>
      </c>
      <c r="I18">
        <v>46197</v>
      </c>
      <c r="J18" t="str">
        <v>Sim</v>
      </c>
      <c r="K18">
        <v>14790.6</v>
      </c>
      <c r="L18" t="str">
        <v/>
      </c>
      <c r="M18" t="str">
        <v/>
      </c>
      <c r="N18" t="str">
        <v>CAMPANHA CNPJ| 20 -44 DIAS | ATIVOS</v>
      </c>
      <c r="O18">
        <v>46211</v>
      </c>
      <c r="P18">
        <v>1100</v>
      </c>
      <c r="Q18">
        <v>312</v>
      </c>
      <c r="R18" t="str">
        <v>08072026_CNPJ_AT_20_44</v>
      </c>
    </row>
    <row r="19">
      <c r="A19">
        <v>28658</v>
      </c>
      <c r="B19" t="str">
        <v>Teve Interesse</v>
      </c>
      <c r="C19">
        <v>9937</v>
      </c>
      <c r="D19" t="str">
        <v>Gislaine Muller</v>
      </c>
      <c r="E19" t="str">
        <v>Externo</v>
      </c>
      <c r="F19" t="str">
        <v>Vale dos Sinos</v>
      </c>
      <c r="G19" t="str">
        <v>Leonardo</v>
      </c>
      <c r="H19" t="str">
        <v>COPA | 20-44 DIAS | REPRESENTANTES</v>
      </c>
      <c r="I19">
        <v>46197</v>
      </c>
      <c r="J19" t="str">
        <v>Não</v>
      </c>
      <c r="K19" t="str">
        <v/>
      </c>
      <c r="L19" t="str">
        <v/>
      </c>
      <c r="M19" t="str">
        <v/>
      </c>
      <c r="N19" t="str">
        <v>CAMPANHA CNPJ| 45-400 DIAS | TELEVENDAS</v>
      </c>
      <c r="O19">
        <v>46211</v>
      </c>
      <c r="P19">
        <v>1692</v>
      </c>
      <c r="Q19">
        <v>523</v>
      </c>
      <c r="R19" t="str">
        <v>08072026_CNPJ_TV_45_400</v>
      </c>
    </row>
    <row r="20">
      <c r="A20">
        <v>31819</v>
      </c>
      <c r="B20" t="str">
        <v>Teve Interesse</v>
      </c>
      <c r="C20">
        <v>9937</v>
      </c>
      <c r="D20" t="str">
        <v>Gislaine Muller</v>
      </c>
      <c r="E20" t="str">
        <v>Externo</v>
      </c>
      <c r="F20" t="str">
        <v>Vale dos Sinos</v>
      </c>
      <c r="G20" t="str">
        <v>Leonardo</v>
      </c>
      <c r="H20" t="str">
        <v>COPA | 20-44 DIAS | REPRESENTANTES</v>
      </c>
      <c r="I20">
        <v>46197</v>
      </c>
      <c r="J20" t="str">
        <v>Não</v>
      </c>
      <c r="K20" t="str">
        <v/>
      </c>
      <c r="L20" t="str">
        <v/>
      </c>
      <c r="M20" t="str">
        <v/>
      </c>
      <c r="N20" t="str">
        <v>CAMPANHA SUPER VOUCHER| 45-120 DIAS | TELEVENDAS</v>
      </c>
      <c r="O20">
        <v>46212</v>
      </c>
      <c r="P20">
        <v>1166</v>
      </c>
      <c r="Q20">
        <v>310</v>
      </c>
      <c r="R20" t="str">
        <v>09072026_SUPERVOUCH_TV_45_120</v>
      </c>
    </row>
    <row r="21">
      <c r="A21">
        <v>33133</v>
      </c>
      <c r="B21" t="str">
        <v>Teve Interesse</v>
      </c>
      <c r="C21">
        <v>1234</v>
      </c>
      <c r="D21" t="str">
        <v>Elisiane Lambrechtt</v>
      </c>
      <c r="E21" t="str">
        <v>Externo</v>
      </c>
      <c r="F21" t="str">
        <v>Grande POA</v>
      </c>
      <c r="G21" t="str">
        <v>Juliano</v>
      </c>
      <c r="H21" t="str">
        <v>COPA | 20-44 DIAS | REPRESENTANTES</v>
      </c>
      <c r="I21">
        <v>46197</v>
      </c>
      <c r="J21" t="str">
        <v>Sim</v>
      </c>
      <c r="K21">
        <v>806.09</v>
      </c>
      <c r="L21" t="str">
        <v/>
      </c>
      <c r="M21" t="str">
        <v/>
      </c>
      <c r="N21" t="str">
        <v/>
      </c>
      <c r="O21" t="str">
        <v/>
      </c>
      <c r="P21" t="str">
        <v/>
      </c>
      <c r="Q21" t="str">
        <v/>
      </c>
      <c r="R21" t="str">
        <v/>
      </c>
    </row>
    <row r="22">
      <c r="A22">
        <v>33273</v>
      </c>
      <c r="B22" t="str">
        <v>Teve Interesse</v>
      </c>
      <c r="C22">
        <v>1328</v>
      </c>
      <c r="D22" t="str">
        <v>Arlecio Lindemann</v>
      </c>
      <c r="E22" t="str">
        <v>Externo</v>
      </c>
      <c r="F22" t="str">
        <v>Sul</v>
      </c>
      <c r="G22" t="str">
        <v>Moizes</v>
      </c>
      <c r="H22" t="str">
        <v>COPA | 20-44 DIAS | REPRESENTANTES</v>
      </c>
      <c r="I22">
        <v>46197</v>
      </c>
      <c r="J22" t="str">
        <v>Não</v>
      </c>
      <c r="K22" t="str">
        <v/>
      </c>
      <c r="L22" t="str">
        <v/>
      </c>
      <c r="M22" t="str">
        <v/>
      </c>
      <c r="N22" t="str">
        <v/>
      </c>
      <c r="O22" t="str">
        <v/>
      </c>
      <c r="P22" t="str">
        <v/>
      </c>
      <c r="Q22" t="str">
        <v/>
      </c>
      <c r="R22" t="str">
        <v/>
      </c>
    </row>
    <row r="23">
      <c r="A23">
        <v>35805</v>
      </c>
      <c r="B23" t="str">
        <v>Teve Interesse</v>
      </c>
      <c r="C23">
        <v>1504</v>
      </c>
      <c r="D23" t="str">
        <v>Andreia Lopes</v>
      </c>
      <c r="E23" t="str">
        <v>Externo</v>
      </c>
      <c r="F23" t="str">
        <v>Serra</v>
      </c>
      <c r="G23" t="str">
        <v>Jackson</v>
      </c>
      <c r="H23" t="str">
        <v>COPA | 20-44 DIAS | REPRESENTANTES</v>
      </c>
      <c r="I23">
        <v>46197</v>
      </c>
      <c r="J23" t="str">
        <v>Não</v>
      </c>
      <c r="K23" t="str">
        <v/>
      </c>
      <c r="L23" t="str">
        <v/>
      </c>
      <c r="M23" t="str">
        <v/>
      </c>
      <c r="N23" t="str">
        <v/>
      </c>
      <c r="O23" t="str">
        <v/>
      </c>
      <c r="P23" t="str">
        <v/>
      </c>
      <c r="Q23" t="str">
        <v/>
      </c>
      <c r="R23" t="str">
        <v/>
      </c>
    </row>
    <row r="24">
      <c r="A24">
        <v>40618</v>
      </c>
      <c r="B24" t="str">
        <v>Teve Interesse</v>
      </c>
      <c r="C24">
        <v>1278</v>
      </c>
      <c r="D24" t="str">
        <v>Moacir Lopes</v>
      </c>
      <c r="E24" t="str">
        <v>Externo</v>
      </c>
      <c r="F24" t="str">
        <v>Grande POA</v>
      </c>
      <c r="G24" t="str">
        <v>Juliano</v>
      </c>
      <c r="H24" t="str">
        <v>COPA | 20-44 DIAS | REPRESENTANTES</v>
      </c>
      <c r="I24">
        <v>46197</v>
      </c>
      <c r="J24" t="str">
        <v>Sim</v>
      </c>
      <c r="K24">
        <v>797.04</v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</row>
    <row r="25">
      <c r="A25">
        <v>41838</v>
      </c>
      <c r="B25" t="str">
        <v>Teve Interesse</v>
      </c>
      <c r="C25">
        <v>1525</v>
      </c>
      <c r="D25" t="str">
        <v>Dionis Jose</v>
      </c>
      <c r="E25" t="str">
        <v>Externo</v>
      </c>
      <c r="F25" t="str">
        <v>Vale dos Sinos</v>
      </c>
      <c r="G25" t="str">
        <v>Leonardo</v>
      </c>
      <c r="H25" t="str">
        <v>COPA | 20-44 DIAS | REPRESENTANTES</v>
      </c>
      <c r="I25">
        <v>46197</v>
      </c>
      <c r="J25" t="str">
        <v>Não</v>
      </c>
      <c r="K25" t="str">
        <v/>
      </c>
      <c r="L25" t="str">
        <v/>
      </c>
      <c r="M25" t="str">
        <v/>
      </c>
      <c r="N25" t="str">
        <v/>
      </c>
      <c r="O25" t="str">
        <v/>
      </c>
      <c r="P25" t="str">
        <v/>
      </c>
      <c r="Q25" t="str">
        <v/>
      </c>
      <c r="R25" t="str">
        <v/>
      </c>
    </row>
    <row r="26">
      <c r="A26">
        <v>41914</v>
      </c>
      <c r="B26" t="str">
        <v>Teve Interesse</v>
      </c>
      <c r="C26">
        <v>1335</v>
      </c>
      <c r="D26" t="str">
        <v>Volnei Klug</v>
      </c>
      <c r="E26" t="str">
        <v>Externo</v>
      </c>
      <c r="F26" t="str">
        <v>Sul</v>
      </c>
      <c r="G26" t="str">
        <v>Moizes</v>
      </c>
      <c r="H26" t="str">
        <v>COPA | 20-44 DIAS | REPRESENTANTES</v>
      </c>
      <c r="I26">
        <v>46197</v>
      </c>
      <c r="J26" t="str">
        <v>Não</v>
      </c>
      <c r="K26" t="str">
        <v/>
      </c>
      <c r="L26" t="str">
        <v/>
      </c>
      <c r="M26" t="str">
        <v/>
      </c>
      <c r="N26" t="str">
        <v/>
      </c>
      <c r="O26" t="str">
        <v/>
      </c>
      <c r="P26" t="str">
        <v/>
      </c>
      <c r="Q26" t="str">
        <v/>
      </c>
      <c r="R26" t="str">
        <v/>
      </c>
    </row>
    <row r="27">
      <c r="A27">
        <v>42415</v>
      </c>
      <c r="B27" t="str">
        <v>Teve Interesse</v>
      </c>
      <c r="C27">
        <v>9911</v>
      </c>
      <c r="D27" t="str">
        <v>Jairo Costa</v>
      </c>
      <c r="E27" t="str">
        <v>Externo</v>
      </c>
      <c r="F27" t="str">
        <v>Sul</v>
      </c>
      <c r="G27" t="str">
        <v>Moizes</v>
      </c>
      <c r="H27" t="str">
        <v>COPA | 20-44 DIAS | REPRESENTANTES</v>
      </c>
      <c r="I27">
        <v>46197</v>
      </c>
      <c r="J27" t="str">
        <v>Sim</v>
      </c>
      <c r="K27">
        <v>190.97</v>
      </c>
      <c r="L27" t="str">
        <v/>
      </c>
      <c r="M27" t="str">
        <v/>
      </c>
      <c r="N27" t="str">
        <v/>
      </c>
      <c r="O27" t="str">
        <v/>
      </c>
      <c r="P27" t="str">
        <v/>
      </c>
      <c r="Q27" t="str">
        <v/>
      </c>
      <c r="R27" t="str">
        <v/>
      </c>
    </row>
    <row r="28">
      <c r="A28">
        <v>42440</v>
      </c>
      <c r="B28" t="str">
        <v>Teve Interesse</v>
      </c>
      <c r="C28">
        <v>1464</v>
      </c>
      <c r="D28" t="str">
        <v>Camila Arruda</v>
      </c>
      <c r="E28" t="str">
        <v>Televendas</v>
      </c>
      <c r="F28" t="str">
        <v>Sul</v>
      </c>
      <c r="G28" t="str">
        <v>Franciele</v>
      </c>
      <c r="H28" t="str">
        <v>COPA | 20-44 DIAS | REPRESENTANTES</v>
      </c>
      <c r="I28">
        <v>46197</v>
      </c>
      <c r="J28" t="str">
        <v>Não</v>
      </c>
      <c r="K28" t="str">
        <v/>
      </c>
      <c r="L28" t="str">
        <v/>
      </c>
      <c r="M28" t="str">
        <v/>
      </c>
      <c r="N28" t="str">
        <v/>
      </c>
      <c r="O28" t="str">
        <v/>
      </c>
      <c r="P28" t="str">
        <v/>
      </c>
      <c r="Q28" t="str">
        <v/>
      </c>
      <c r="R28" t="str">
        <v/>
      </c>
    </row>
    <row r="29">
      <c r="A29">
        <v>43289</v>
      </c>
      <c r="B29" t="str">
        <v>Teve Interesse</v>
      </c>
      <c r="C29">
        <v>1464</v>
      </c>
      <c r="D29" t="str">
        <v>Camila Arruda</v>
      </c>
      <c r="E29" t="str">
        <v>Televendas</v>
      </c>
      <c r="F29" t="str">
        <v>Sul</v>
      </c>
      <c r="G29" t="str">
        <v>Franciele</v>
      </c>
      <c r="H29" t="str">
        <v>COPA | 20-44 DIAS | REPRESENTANTES</v>
      </c>
      <c r="I29">
        <v>46197</v>
      </c>
      <c r="J29" t="str">
        <v>Não</v>
      </c>
      <c r="K29" t="str">
        <v/>
      </c>
      <c r="L29" t="str">
        <v/>
      </c>
      <c r="M29" t="str">
        <v/>
      </c>
      <c r="N29" t="str">
        <v/>
      </c>
      <c r="O29" t="str">
        <v/>
      </c>
      <c r="P29" t="str">
        <v/>
      </c>
      <c r="Q29" t="str">
        <v/>
      </c>
      <c r="R29" t="str">
        <v/>
      </c>
    </row>
    <row r="30">
      <c r="A30">
        <v>43676</v>
      </c>
      <c r="B30" t="str">
        <v>Teve Interesse</v>
      </c>
      <c r="C30">
        <v>9863</v>
      </c>
      <c r="D30" t="str">
        <v>Rose - Nelvara</v>
      </c>
      <c r="E30" t="str">
        <v>Externo</v>
      </c>
      <c r="F30" t="str">
        <v>Sul</v>
      </c>
      <c r="G30" t="str">
        <v>Moizes</v>
      </c>
      <c r="H30" t="str">
        <v>COPA | 20-44 DIAS | REPRESENTANTES</v>
      </c>
      <c r="I30">
        <v>46197</v>
      </c>
      <c r="J30" t="str">
        <v>Sim</v>
      </c>
      <c r="K30">
        <v>537.24</v>
      </c>
      <c r="L30" t="str">
        <v/>
      </c>
      <c r="M30" t="str">
        <v/>
      </c>
      <c r="N30" t="str">
        <v/>
      </c>
      <c r="O30" t="str">
        <v/>
      </c>
      <c r="P30" t="str">
        <v/>
      </c>
      <c r="Q30" t="str">
        <v/>
      </c>
      <c r="R30" t="str">
        <v/>
      </c>
    </row>
    <row r="31">
      <c r="A31">
        <v>44751</v>
      </c>
      <c r="B31" t="str">
        <v>Teve Interesse</v>
      </c>
      <c r="C31">
        <v>9872</v>
      </c>
      <c r="D31" t="str">
        <v>Viviane Botelho</v>
      </c>
      <c r="E31" t="str">
        <v>Externo</v>
      </c>
      <c r="F31" t="str">
        <v>Sul</v>
      </c>
      <c r="G31" t="str">
        <v>Moizes</v>
      </c>
      <c r="H31" t="str">
        <v>COPA | 20-44 DIAS | REPRESENTANTES</v>
      </c>
      <c r="I31">
        <v>46197</v>
      </c>
      <c r="J31" t="str">
        <v>Sim</v>
      </c>
      <c r="K31">
        <v>556</v>
      </c>
      <c r="L31" t="str">
        <v/>
      </c>
      <c r="M31" t="str">
        <v/>
      </c>
      <c r="N31" t="str">
        <v/>
      </c>
      <c r="O31" t="str">
        <v/>
      </c>
      <c r="P31" t="str">
        <v/>
      </c>
      <c r="Q31" t="str">
        <v/>
      </c>
      <c r="R31" t="str">
        <v/>
      </c>
    </row>
    <row r="32">
      <c r="A32">
        <v>45465</v>
      </c>
      <c r="B32" t="str">
        <v>Teve Interesse</v>
      </c>
      <c r="C32">
        <v>9872</v>
      </c>
      <c r="D32" t="str">
        <v>Viviane Botelho</v>
      </c>
      <c r="E32" t="str">
        <v>Externo</v>
      </c>
      <c r="F32" t="str">
        <v>Sul</v>
      </c>
      <c r="G32" t="str">
        <v>Moizes</v>
      </c>
      <c r="H32" t="str">
        <v>COPA | 20-44 DIAS | REPRESENTANTES</v>
      </c>
      <c r="I32">
        <v>46197</v>
      </c>
      <c r="J32" t="str">
        <v>Sim</v>
      </c>
      <c r="K32">
        <v>277.2</v>
      </c>
      <c r="L32" t="str">
        <v/>
      </c>
      <c r="M32" t="str">
        <v/>
      </c>
      <c r="N32" t="str">
        <v/>
      </c>
      <c r="O32" t="str">
        <v/>
      </c>
      <c r="P32" t="str">
        <v/>
      </c>
      <c r="Q32" t="str">
        <v/>
      </c>
      <c r="R32" t="str">
        <v/>
      </c>
    </row>
    <row r="33">
      <c r="A33">
        <v>45509</v>
      </c>
      <c r="B33" t="str">
        <v>Teve Interesse</v>
      </c>
      <c r="C33">
        <v>1581</v>
      </c>
      <c r="D33" t="str">
        <v>Douglas Montagna</v>
      </c>
      <c r="E33" t="str">
        <v>Externo</v>
      </c>
      <c r="F33" t="str">
        <v>Grande POA</v>
      </c>
      <c r="G33" t="str">
        <v>Juliano</v>
      </c>
      <c r="H33" t="str">
        <v>COPA | 20-44 DIAS | REPRESENTANTES</v>
      </c>
      <c r="I33">
        <v>46197</v>
      </c>
      <c r="J33" t="str">
        <v>Sim</v>
      </c>
      <c r="K33">
        <v>21.89</v>
      </c>
      <c r="L33" t="str">
        <v/>
      </c>
      <c r="M33" t="str">
        <v/>
      </c>
      <c r="N33" t="str">
        <v/>
      </c>
      <c r="O33" t="str">
        <v/>
      </c>
      <c r="P33" t="str">
        <v/>
      </c>
      <c r="Q33" t="str">
        <v/>
      </c>
      <c r="R33" t="str">
        <v/>
      </c>
    </row>
    <row r="34">
      <c r="A34">
        <v>26967</v>
      </c>
      <c r="B34" t="str">
        <v>Teve Interesse</v>
      </c>
      <c r="C34">
        <v>1575</v>
      </c>
      <c r="D34" t="str">
        <v>Jenifer Rodrigues</v>
      </c>
      <c r="E34" t="str">
        <v>Televendas</v>
      </c>
      <c r="F34" t="str">
        <v>Geral</v>
      </c>
      <c r="G34" t="str">
        <v>Franciele</v>
      </c>
      <c r="H34" t="str">
        <v>DIA DO AÇAÍ | 45-120 DIAS | TELEVENDAS</v>
      </c>
      <c r="I34">
        <v>46198</v>
      </c>
      <c r="J34" t="str">
        <v>Não</v>
      </c>
      <c r="K34" t="str">
        <v/>
      </c>
      <c r="L34" t="str">
        <v/>
      </c>
      <c r="M34" t="str">
        <v/>
      </c>
      <c r="N34" t="str">
        <v/>
      </c>
      <c r="O34" t="str">
        <v/>
      </c>
      <c r="P34" t="str">
        <v/>
      </c>
      <c r="Q34" t="str">
        <v/>
      </c>
      <c r="R34" t="str">
        <v/>
      </c>
    </row>
    <row r="35">
      <c r="A35">
        <v>30929</v>
      </c>
      <c r="B35" t="str">
        <v>Teve Interesse</v>
      </c>
      <c r="C35">
        <v>1464</v>
      </c>
      <c r="D35" t="str">
        <v>Camila Arruda</v>
      </c>
      <c r="E35" t="str">
        <v>Televendas</v>
      </c>
      <c r="F35" t="str">
        <v>Sul</v>
      </c>
      <c r="G35" t="str">
        <v>Franciele</v>
      </c>
      <c r="H35" t="str">
        <v>DIA DO AÇAÍ | 45-120 DIAS | TELEVENDAS</v>
      </c>
      <c r="I35">
        <v>46198</v>
      </c>
      <c r="J35" t="str">
        <v>Sim</v>
      </c>
      <c r="K35">
        <v>1258</v>
      </c>
      <c r="L35" t="str">
        <v/>
      </c>
      <c r="M35" t="str">
        <v/>
      </c>
      <c r="N35" t="str">
        <v/>
      </c>
      <c r="O35" t="str">
        <v/>
      </c>
      <c r="P35" t="str">
        <v/>
      </c>
      <c r="Q35" t="str">
        <v/>
      </c>
      <c r="R35" t="str">
        <v/>
      </c>
    </row>
    <row r="36">
      <c r="A36">
        <v>32156</v>
      </c>
      <c r="B36" t="str">
        <v>Teve Interesse</v>
      </c>
      <c r="C36">
        <v>1596</v>
      </c>
      <c r="D36" t="str">
        <v>Ariane Quebao</v>
      </c>
      <c r="E36" t="str">
        <v>Televendas</v>
      </c>
      <c r="F36" t="str">
        <v>Grande POA</v>
      </c>
      <c r="G36" t="str">
        <v>Franciele</v>
      </c>
      <c r="H36" t="str">
        <v>DIA DO AÇAÍ | 45-120 DIAS | TELEVENDAS</v>
      </c>
      <c r="I36">
        <v>46198</v>
      </c>
      <c r="J36" t="str">
        <v>Não</v>
      </c>
      <c r="K36" t="str">
        <v/>
      </c>
      <c r="L36" t="str">
        <v/>
      </c>
      <c r="M36" t="str">
        <v/>
      </c>
      <c r="N36" t="str">
        <v/>
      </c>
      <c r="O36" t="str">
        <v/>
      </c>
      <c r="P36" t="str">
        <v/>
      </c>
      <c r="Q36" t="str">
        <v/>
      </c>
      <c r="R36" t="str">
        <v/>
      </c>
    </row>
    <row r="37">
      <c r="A37">
        <v>35940</v>
      </c>
      <c r="B37" t="str">
        <v>Teve Interesse</v>
      </c>
      <c r="C37">
        <v>9886</v>
      </c>
      <c r="D37" t="str">
        <v>Tatiana | Serra</v>
      </c>
      <c r="E37" t="str">
        <v>Televendas</v>
      </c>
      <c r="F37" t="str">
        <v>Serra</v>
      </c>
      <c r="G37" t="str">
        <v>Franciele</v>
      </c>
      <c r="H37" t="str">
        <v>DIA DO AÇAÍ | 45-120 DIAS | TELEVENDAS</v>
      </c>
      <c r="I37">
        <v>46198</v>
      </c>
      <c r="J37" t="str">
        <v>Não</v>
      </c>
      <c r="K37" t="str">
        <v/>
      </c>
      <c r="L37" t="str">
        <v/>
      </c>
      <c r="M37" t="str">
        <v/>
      </c>
      <c r="N37" t="str">
        <v/>
      </c>
      <c r="O37" t="str">
        <v/>
      </c>
      <c r="P37" t="str">
        <v/>
      </c>
      <c r="Q37" t="str">
        <v/>
      </c>
      <c r="R37" t="str">
        <v/>
      </c>
    </row>
    <row r="38">
      <c r="A38">
        <v>36147</v>
      </c>
      <c r="B38" t="str">
        <v>Teve Interesse</v>
      </c>
      <c r="C38">
        <v>1575</v>
      </c>
      <c r="D38" t="str">
        <v>Jenifer Rodrigues</v>
      </c>
      <c r="E38" t="str">
        <v>Televendas</v>
      </c>
      <c r="F38" t="str">
        <v>Geral</v>
      </c>
      <c r="G38" t="str">
        <v>Franciele</v>
      </c>
      <c r="H38" t="str">
        <v>DIA DO AÇAÍ | 45-120 DIAS | TELEVENDAS</v>
      </c>
      <c r="I38">
        <v>46198</v>
      </c>
      <c r="J38" t="str">
        <v>Não</v>
      </c>
      <c r="K38" t="str">
        <v/>
      </c>
      <c r="L38" t="str">
        <v/>
      </c>
      <c r="M38" t="str">
        <v/>
      </c>
      <c r="N38" t="str">
        <v/>
      </c>
      <c r="O38" t="str">
        <v/>
      </c>
      <c r="P38" t="str">
        <v/>
      </c>
      <c r="Q38" t="str">
        <v/>
      </c>
      <c r="R38" t="str">
        <v/>
      </c>
    </row>
    <row r="39">
      <c r="A39">
        <v>36248</v>
      </c>
      <c r="B39" t="str">
        <v>Teve Interesse</v>
      </c>
      <c r="C39">
        <v>1596</v>
      </c>
      <c r="D39" t="str">
        <v>Ariane Quebao</v>
      </c>
      <c r="E39" t="str">
        <v>Televendas</v>
      </c>
      <c r="F39" t="str">
        <v>Grande POA</v>
      </c>
      <c r="G39" t="str">
        <v>Franciele</v>
      </c>
      <c r="H39" t="str">
        <v>DIA DO AÇAÍ | 45-120 DIAS | TELEVENDAS</v>
      </c>
      <c r="I39">
        <v>46198</v>
      </c>
      <c r="J39" t="str">
        <v>Sim</v>
      </c>
      <c r="K39">
        <v>264.39</v>
      </c>
      <c r="L39" t="str">
        <v/>
      </c>
      <c r="M39" t="str">
        <v/>
      </c>
      <c r="N39" t="str">
        <v/>
      </c>
      <c r="O39" t="str">
        <v/>
      </c>
      <c r="P39" t="str">
        <v/>
      </c>
      <c r="Q39" t="str">
        <v/>
      </c>
      <c r="R39" t="str">
        <v/>
      </c>
    </row>
    <row r="40">
      <c r="A40">
        <v>37820</v>
      </c>
      <c r="B40" t="str">
        <v>Teve Interesse</v>
      </c>
      <c r="C40">
        <v>1575</v>
      </c>
      <c r="D40" t="str">
        <v>Jenifer Rodrigues</v>
      </c>
      <c r="E40" t="str">
        <v>Televendas</v>
      </c>
      <c r="F40" t="str">
        <v>Geral</v>
      </c>
      <c r="G40" t="str">
        <v>Franciele</v>
      </c>
      <c r="H40" t="str">
        <v>DIA DO AÇAÍ | 45-120 DIAS | TELEVENDAS</v>
      </c>
      <c r="I40">
        <v>46198</v>
      </c>
      <c r="J40" t="str">
        <v>Não</v>
      </c>
      <c r="K40" t="str">
        <v/>
      </c>
      <c r="L40" t="str">
        <v/>
      </c>
      <c r="M40" t="str">
        <v/>
      </c>
      <c r="N40" t="str">
        <v/>
      </c>
      <c r="O40" t="str">
        <v/>
      </c>
      <c r="P40" t="str">
        <v/>
      </c>
      <c r="Q40" t="str">
        <v/>
      </c>
      <c r="R40" t="str">
        <v/>
      </c>
    </row>
    <row r="41">
      <c r="A41">
        <v>38288</v>
      </c>
      <c r="B41" t="str">
        <v>Teve Interesse</v>
      </c>
      <c r="C41">
        <v>9886</v>
      </c>
      <c r="D41" t="str">
        <v>Tatiana | Serra</v>
      </c>
      <c r="E41" t="str">
        <v>Televendas</v>
      </c>
      <c r="F41" t="str">
        <v>Serra</v>
      </c>
      <c r="G41" t="str">
        <v>Franciele</v>
      </c>
      <c r="H41" t="str">
        <v>DIA DO AÇAÍ | 45-120 DIAS | TELEVENDAS</v>
      </c>
      <c r="I41">
        <v>46198</v>
      </c>
      <c r="J41" t="str">
        <v>Não</v>
      </c>
      <c r="K41" t="str">
        <v/>
      </c>
      <c r="L41" t="str">
        <v/>
      </c>
      <c r="M41" t="str">
        <v/>
      </c>
      <c r="N41" t="str">
        <v/>
      </c>
      <c r="O41" t="str">
        <v/>
      </c>
      <c r="P41" t="str">
        <v/>
      </c>
      <c r="Q41" t="str">
        <v/>
      </c>
      <c r="R41" t="str">
        <v/>
      </c>
    </row>
    <row r="42">
      <c r="A42">
        <v>38434</v>
      </c>
      <c r="B42" t="str">
        <v>Teve Interesse</v>
      </c>
      <c r="C42">
        <v>1575</v>
      </c>
      <c r="D42" t="str">
        <v>Jenifer Rodrigues</v>
      </c>
      <c r="E42" t="str">
        <v>Televendas</v>
      </c>
      <c r="F42" t="str">
        <v>Geral</v>
      </c>
      <c r="G42" t="str">
        <v>Franciele</v>
      </c>
      <c r="H42" t="str">
        <v>DIA DO AÇAÍ | 45-120 DIAS | TELEVENDAS</v>
      </c>
      <c r="I42">
        <v>46198</v>
      </c>
      <c r="J42" t="str">
        <v>Não</v>
      </c>
      <c r="K42" t="str">
        <v/>
      </c>
      <c r="L42" t="str">
        <v/>
      </c>
      <c r="M42" t="str">
        <v/>
      </c>
      <c r="N42" t="str">
        <v/>
      </c>
      <c r="O42" t="str">
        <v/>
      </c>
      <c r="P42" t="str">
        <v/>
      </c>
      <c r="Q42" t="str">
        <v/>
      </c>
      <c r="R42" t="str">
        <v/>
      </c>
    </row>
    <row r="43">
      <c r="A43">
        <v>38579</v>
      </c>
      <c r="B43" t="str">
        <v>Teve Interesse</v>
      </c>
      <c r="C43">
        <v>1429</v>
      </c>
      <c r="D43" t="str">
        <v>Natália Bombardelli</v>
      </c>
      <c r="E43" t="str">
        <v>Televendas</v>
      </c>
      <c r="F43" t="str">
        <v>Geral</v>
      </c>
      <c r="G43" t="str">
        <v>Franciele</v>
      </c>
      <c r="H43" t="str">
        <v>DIA DO AÇAÍ | 45-120 DIAS | TELEVENDAS</v>
      </c>
      <c r="I43">
        <v>46198</v>
      </c>
      <c r="J43" t="str">
        <v>Não</v>
      </c>
      <c r="K43" t="str">
        <v/>
      </c>
      <c r="L43" t="str">
        <v/>
      </c>
      <c r="M43" t="str">
        <v/>
      </c>
      <c r="N43" t="str">
        <v/>
      </c>
      <c r="O43" t="str">
        <v/>
      </c>
      <c r="P43" t="str">
        <v/>
      </c>
      <c r="Q43" t="str">
        <v/>
      </c>
      <c r="R43" t="str">
        <v/>
      </c>
    </row>
    <row r="44">
      <c r="A44">
        <v>39168</v>
      </c>
      <c r="B44" t="str">
        <v>Teve Interesse</v>
      </c>
      <c r="C44">
        <v>1575</v>
      </c>
      <c r="D44" t="str">
        <v>Jenifer Rodrigues</v>
      </c>
      <c r="E44" t="str">
        <v>Televendas</v>
      </c>
      <c r="F44" t="str">
        <v>Geral</v>
      </c>
      <c r="G44" t="str">
        <v>Franciele</v>
      </c>
      <c r="H44" t="str">
        <v>DIA DO AÇAÍ | 45-120 DIAS | TELEVENDAS</v>
      </c>
      <c r="I44">
        <v>46198</v>
      </c>
      <c r="J44" t="str">
        <v>Não</v>
      </c>
      <c r="K44" t="str">
        <v/>
      </c>
      <c r="L44" t="str">
        <v/>
      </c>
      <c r="M44" t="str">
        <v/>
      </c>
      <c r="N44" t="str">
        <v/>
      </c>
      <c r="O44" t="str">
        <v/>
      </c>
      <c r="P44" t="str">
        <v/>
      </c>
      <c r="Q44" t="str">
        <v/>
      </c>
      <c r="R44" t="str">
        <v/>
      </c>
    </row>
    <row r="45">
      <c r="A45">
        <v>41199</v>
      </c>
      <c r="B45" t="str">
        <v>Teve Interesse</v>
      </c>
      <c r="C45">
        <v>1575</v>
      </c>
      <c r="D45" t="str">
        <v>Jenifer Rodrigues</v>
      </c>
      <c r="E45" t="str">
        <v>Televendas</v>
      </c>
      <c r="F45" t="str">
        <v>Geral</v>
      </c>
      <c r="G45" t="str">
        <v>Franciele</v>
      </c>
      <c r="H45" t="str">
        <v>DIA DO AÇAÍ | 45-120 DIAS | TELEVENDAS</v>
      </c>
      <c r="I45">
        <v>46198</v>
      </c>
      <c r="J45" t="str">
        <v>Não</v>
      </c>
      <c r="K45" t="str">
        <v/>
      </c>
      <c r="L45" t="str">
        <v/>
      </c>
      <c r="M45" t="str">
        <v/>
      </c>
      <c r="N45" t="str">
        <v/>
      </c>
      <c r="O45" t="str">
        <v/>
      </c>
      <c r="P45" t="str">
        <v/>
      </c>
      <c r="Q45" t="str">
        <v/>
      </c>
      <c r="R45" t="str">
        <v/>
      </c>
    </row>
    <row r="46">
      <c r="A46">
        <v>41371</v>
      </c>
      <c r="B46" t="str">
        <v>Teve Interesse</v>
      </c>
      <c r="C46">
        <v>1596</v>
      </c>
      <c r="D46" t="str">
        <v>Ariane Quebao</v>
      </c>
      <c r="E46" t="str">
        <v>Televendas</v>
      </c>
      <c r="F46" t="str">
        <v>Grande POA</v>
      </c>
      <c r="G46" t="str">
        <v>Franciele</v>
      </c>
      <c r="H46" t="str">
        <v>DIA DO AÇAÍ | 45-120 DIAS | TELEVENDAS</v>
      </c>
      <c r="I46">
        <v>46198</v>
      </c>
      <c r="J46" t="str">
        <v>Não</v>
      </c>
      <c r="K46" t="str">
        <v/>
      </c>
      <c r="L46" t="str">
        <v/>
      </c>
      <c r="M46" t="str">
        <v/>
      </c>
      <c r="N46" t="str">
        <v/>
      </c>
      <c r="O46" t="str">
        <v/>
      </c>
      <c r="P46" t="str">
        <v/>
      </c>
      <c r="Q46" t="str">
        <v/>
      </c>
      <c r="R46" t="str">
        <v/>
      </c>
    </row>
    <row r="47">
      <c r="A47">
        <v>41723</v>
      </c>
      <c r="B47" t="str">
        <v>Teve Interesse</v>
      </c>
      <c r="C47">
        <v>1464</v>
      </c>
      <c r="D47" t="str">
        <v>Camila Arruda</v>
      </c>
      <c r="E47" t="str">
        <v>Televendas</v>
      </c>
      <c r="F47" t="str">
        <v>Sul</v>
      </c>
      <c r="G47" t="str">
        <v>Franciele</v>
      </c>
      <c r="H47" t="str">
        <v>DIA DO AÇAÍ | 45-120 DIAS | TELEVENDAS</v>
      </c>
      <c r="I47">
        <v>46198</v>
      </c>
      <c r="J47" t="str">
        <v>Não</v>
      </c>
      <c r="K47" t="str">
        <v/>
      </c>
      <c r="L47" t="str">
        <v/>
      </c>
      <c r="M47" t="str">
        <v/>
      </c>
      <c r="N47" t="str">
        <v/>
      </c>
      <c r="O47" t="str">
        <v/>
      </c>
      <c r="P47" t="str">
        <v/>
      </c>
      <c r="Q47" t="str">
        <v/>
      </c>
      <c r="R47" t="str">
        <v/>
      </c>
    </row>
    <row r="48">
      <c r="A48">
        <v>41854</v>
      </c>
      <c r="B48" t="str">
        <v>Teve Interesse</v>
      </c>
      <c r="C48">
        <v>1464</v>
      </c>
      <c r="D48" t="str">
        <v>Camila Arruda</v>
      </c>
      <c r="E48" t="str">
        <v>Televendas</v>
      </c>
      <c r="F48" t="str">
        <v>Sul</v>
      </c>
      <c r="G48" t="str">
        <v>Franciele</v>
      </c>
      <c r="H48" t="str">
        <v>DIA DO AÇAÍ | 45-120 DIAS | TELEVENDAS</v>
      </c>
      <c r="I48">
        <v>46198</v>
      </c>
      <c r="J48" t="str">
        <v>Não</v>
      </c>
      <c r="K48" t="str">
        <v/>
      </c>
      <c r="L48" t="str">
        <v/>
      </c>
      <c r="M48" t="str">
        <v/>
      </c>
      <c r="N48" t="str">
        <v/>
      </c>
      <c r="O48" t="str">
        <v/>
      </c>
      <c r="P48" t="str">
        <v/>
      </c>
      <c r="Q48" t="str">
        <v/>
      </c>
      <c r="R48" t="str">
        <v/>
      </c>
    </row>
    <row r="49">
      <c r="A49">
        <v>42136</v>
      </c>
      <c r="B49" t="str">
        <v>Teve Interesse</v>
      </c>
      <c r="C49">
        <v>1575</v>
      </c>
      <c r="D49" t="str">
        <v>Jenifer Rodrigues</v>
      </c>
      <c r="E49" t="str">
        <v>Televendas</v>
      </c>
      <c r="F49" t="str">
        <v>Geral</v>
      </c>
      <c r="G49" t="str">
        <v>Franciele</v>
      </c>
      <c r="H49" t="str">
        <v>DIA DO AÇAÍ | 45-120 DIAS | TELEVENDAS</v>
      </c>
      <c r="I49">
        <v>46198</v>
      </c>
      <c r="J49" t="str">
        <v>Não</v>
      </c>
      <c r="K49" t="str">
        <v/>
      </c>
      <c r="L49" t="str">
        <v/>
      </c>
      <c r="M49" t="str">
        <v/>
      </c>
      <c r="N49" t="str">
        <v/>
      </c>
      <c r="O49" t="str">
        <v/>
      </c>
      <c r="P49" t="str">
        <v/>
      </c>
      <c r="Q49" t="str">
        <v/>
      </c>
      <c r="R49" t="str">
        <v/>
      </c>
    </row>
    <row r="50">
      <c r="A50">
        <v>42416</v>
      </c>
      <c r="B50" t="str">
        <v>Teve Interesse</v>
      </c>
      <c r="C50">
        <v>1575</v>
      </c>
      <c r="D50" t="str">
        <v>Jenifer Rodrigues</v>
      </c>
      <c r="E50" t="str">
        <v>Televendas</v>
      </c>
      <c r="F50" t="str">
        <v>Geral</v>
      </c>
      <c r="G50" t="str">
        <v>Franciele</v>
      </c>
      <c r="H50" t="str">
        <v>DIA DO AÇAÍ | 45-120 DIAS | TELEVENDAS</v>
      </c>
      <c r="I50">
        <v>46198</v>
      </c>
      <c r="J50" t="str">
        <v>Não</v>
      </c>
      <c r="K50" t="str">
        <v/>
      </c>
      <c r="L50" t="str">
        <v/>
      </c>
      <c r="M50" t="str">
        <v/>
      </c>
      <c r="N50" t="str">
        <v/>
      </c>
      <c r="O50" t="str">
        <v/>
      </c>
      <c r="P50" t="str">
        <v/>
      </c>
      <c r="Q50" t="str">
        <v/>
      </c>
      <c r="R50" t="str">
        <v/>
      </c>
    </row>
    <row r="51">
      <c r="A51">
        <v>42586</v>
      </c>
      <c r="B51" t="str">
        <v>Teve Interesse</v>
      </c>
      <c r="C51">
        <v>1575</v>
      </c>
      <c r="D51" t="str">
        <v>Jenifer Rodrigues</v>
      </c>
      <c r="E51" t="str">
        <v>Televendas</v>
      </c>
      <c r="F51" t="str">
        <v>Geral</v>
      </c>
      <c r="G51" t="str">
        <v>Franciele</v>
      </c>
      <c r="H51" t="str">
        <v>DIA DO AÇAÍ | 45-120 DIAS | TELEVENDAS</v>
      </c>
      <c r="I51">
        <v>46198</v>
      </c>
      <c r="J51" t="str">
        <v>Não</v>
      </c>
      <c r="K51" t="str">
        <v/>
      </c>
      <c r="L51" t="str">
        <v/>
      </c>
      <c r="M51" t="str">
        <v/>
      </c>
      <c r="N51" t="str">
        <v/>
      </c>
      <c r="O51" t="str">
        <v/>
      </c>
      <c r="P51" t="str">
        <v/>
      </c>
      <c r="Q51" t="str">
        <v/>
      </c>
      <c r="R51" t="str">
        <v/>
      </c>
    </row>
    <row r="52">
      <c r="A52">
        <v>43680</v>
      </c>
      <c r="B52" t="str">
        <v>Teve Interesse</v>
      </c>
      <c r="C52">
        <v>1575</v>
      </c>
      <c r="D52" t="str">
        <v>Jenifer Rodrigues</v>
      </c>
      <c r="E52" t="str">
        <v>Televendas</v>
      </c>
      <c r="F52" t="str">
        <v>Geral</v>
      </c>
      <c r="G52" t="str">
        <v>Franciele</v>
      </c>
      <c r="H52" t="str">
        <v>DIA DO AÇAÍ | 45-120 DIAS | TELEVENDAS</v>
      </c>
      <c r="I52">
        <v>46198</v>
      </c>
      <c r="J52" t="str">
        <v>Não</v>
      </c>
      <c r="K52" t="str">
        <v/>
      </c>
      <c r="L52" t="str">
        <v/>
      </c>
      <c r="M52" t="str">
        <v/>
      </c>
      <c r="N52" t="str">
        <v/>
      </c>
      <c r="O52" t="str">
        <v/>
      </c>
      <c r="P52" t="str">
        <v/>
      </c>
      <c r="Q52" t="str">
        <v/>
      </c>
      <c r="R52" t="str">
        <v/>
      </c>
    </row>
    <row r="53">
      <c r="A53">
        <v>43770</v>
      </c>
      <c r="B53" t="str">
        <v>Teve Interesse</v>
      </c>
      <c r="C53">
        <v>1464</v>
      </c>
      <c r="D53" t="str">
        <v>Camila Arruda</v>
      </c>
      <c r="E53" t="str">
        <v>Televendas</v>
      </c>
      <c r="F53" t="str">
        <v>Sul</v>
      </c>
      <c r="G53" t="str">
        <v>Franciele</v>
      </c>
      <c r="H53" t="str">
        <v>DIA DO AÇAÍ | 45-120 DIAS | TELEVENDAS</v>
      </c>
      <c r="I53">
        <v>46198</v>
      </c>
      <c r="J53" t="str">
        <v>Não</v>
      </c>
      <c r="K53" t="str">
        <v/>
      </c>
      <c r="L53" t="str">
        <v/>
      </c>
      <c r="M53" t="str">
        <v/>
      </c>
      <c r="N53" t="str">
        <v/>
      </c>
      <c r="O53" t="str">
        <v/>
      </c>
      <c r="P53" t="str">
        <v/>
      </c>
      <c r="Q53" t="str">
        <v/>
      </c>
      <c r="R53" t="str">
        <v/>
      </c>
    </row>
    <row r="54">
      <c r="A54">
        <v>43777</v>
      </c>
      <c r="B54" t="str">
        <v>Teve Interesse</v>
      </c>
      <c r="C54">
        <v>1575</v>
      </c>
      <c r="D54" t="str">
        <v>Jenifer Rodrigues</v>
      </c>
      <c r="E54" t="str">
        <v>Televendas</v>
      </c>
      <c r="F54" t="str">
        <v>Geral</v>
      </c>
      <c r="G54" t="str">
        <v>Franciele</v>
      </c>
      <c r="H54" t="str">
        <v>DIA DO AÇAÍ | 45-120 DIAS | TELEVENDAS</v>
      </c>
      <c r="I54">
        <v>46198</v>
      </c>
      <c r="J54" t="str">
        <v>Não</v>
      </c>
      <c r="K54" t="str">
        <v/>
      </c>
      <c r="L54" t="str">
        <v/>
      </c>
      <c r="M54" t="str">
        <v/>
      </c>
      <c r="N54" t="str">
        <v/>
      </c>
      <c r="O54" t="str">
        <v/>
      </c>
      <c r="P54" t="str">
        <v/>
      </c>
      <c r="Q54" t="str">
        <v/>
      </c>
      <c r="R54" t="str">
        <v/>
      </c>
    </row>
    <row r="55">
      <c r="A55">
        <v>43959</v>
      </c>
      <c r="B55" t="str">
        <v>Teve Interesse</v>
      </c>
      <c r="C55">
        <v>1575</v>
      </c>
      <c r="D55" t="str">
        <v>Jenifer Rodrigues</v>
      </c>
      <c r="E55" t="str">
        <v>Televendas</v>
      </c>
      <c r="F55" t="str">
        <v>Geral</v>
      </c>
      <c r="G55" t="str">
        <v>Franciele</v>
      </c>
      <c r="H55" t="str">
        <v>DIA DO AÇAÍ | 45-120 DIAS | TELEVENDAS</v>
      </c>
      <c r="I55">
        <v>46198</v>
      </c>
      <c r="J55" t="str">
        <v>não</v>
      </c>
      <c r="K55" t="str">
        <v/>
      </c>
      <c r="L55" t="str">
        <v/>
      </c>
      <c r="M55" t="str">
        <v/>
      </c>
      <c r="N55" t="str">
        <v/>
      </c>
      <c r="O55" t="str">
        <v/>
      </c>
      <c r="P55" t="str">
        <v/>
      </c>
      <c r="Q55" t="str">
        <v/>
      </c>
      <c r="R55" t="str">
        <v/>
      </c>
    </row>
    <row r="56">
      <c r="A56">
        <v>44393</v>
      </c>
      <c r="B56" t="str">
        <v>Teve Interesse</v>
      </c>
      <c r="C56">
        <v>1211</v>
      </c>
      <c r="D56" t="str">
        <v>Cristielen da Silva</v>
      </c>
      <c r="E56" t="str">
        <v>Televendas</v>
      </c>
      <c r="F56" t="str">
        <v>Vale dos Sinos</v>
      </c>
      <c r="G56" t="str">
        <v>Franciele</v>
      </c>
      <c r="H56" t="str">
        <v>DIA DO AÇAÍ | 45-120 DIAS | TELEVENDAS</v>
      </c>
      <c r="I56">
        <v>46198</v>
      </c>
      <c r="J56" t="str">
        <v>Não</v>
      </c>
      <c r="K56" t="str">
        <v/>
      </c>
      <c r="L56" t="str">
        <v/>
      </c>
      <c r="M56" t="str">
        <v/>
      </c>
      <c r="N56" t="str">
        <v/>
      </c>
      <c r="O56" t="str">
        <v/>
      </c>
      <c r="P56" t="str">
        <v/>
      </c>
      <c r="Q56" t="str">
        <v/>
      </c>
      <c r="R56" t="str">
        <v/>
      </c>
    </row>
    <row r="57">
      <c r="A57">
        <v>45001</v>
      </c>
      <c r="B57" t="str">
        <v>Teve Interesse</v>
      </c>
      <c r="C57">
        <v>1429</v>
      </c>
      <c r="D57" t="str">
        <v>Natália Bombardelli</v>
      </c>
      <c r="E57" t="str">
        <v>Televendas</v>
      </c>
      <c r="F57" t="str">
        <v>Geral</v>
      </c>
      <c r="G57" t="str">
        <v>Franciele</v>
      </c>
      <c r="H57" t="str">
        <v>DIA DO AÇAÍ | 45-120 DIAS | TELEVENDAS</v>
      </c>
      <c r="I57">
        <v>46198</v>
      </c>
      <c r="J57" t="str">
        <v>Não</v>
      </c>
      <c r="K57" t="str">
        <v/>
      </c>
      <c r="L57" t="str">
        <v/>
      </c>
      <c r="M57" t="str">
        <v/>
      </c>
      <c r="N57" t="str">
        <v/>
      </c>
      <c r="O57" t="str">
        <v/>
      </c>
      <c r="P57" t="str">
        <v/>
      </c>
      <c r="Q57" t="str">
        <v/>
      </c>
      <c r="R57" t="str">
        <v/>
      </c>
    </row>
    <row r="58">
      <c r="A58">
        <v>45016</v>
      </c>
      <c r="B58" t="str">
        <v>Teve Interesse</v>
      </c>
      <c r="C58">
        <v>1596</v>
      </c>
      <c r="D58" t="str">
        <v>Ariane Quebao</v>
      </c>
      <c r="E58" t="str">
        <v>Televendas</v>
      </c>
      <c r="F58" t="str">
        <v>Grande POA</v>
      </c>
      <c r="G58" t="str">
        <v>Franciele</v>
      </c>
      <c r="H58" t="str">
        <v>DIA DO AÇAÍ | 45-120 DIAS | TELEVENDAS</v>
      </c>
      <c r="I58">
        <v>46198</v>
      </c>
      <c r="J58" t="str">
        <v>Não</v>
      </c>
      <c r="K58" t="str">
        <v/>
      </c>
      <c r="L58" t="str">
        <v/>
      </c>
      <c r="M58" t="str">
        <v/>
      </c>
      <c r="N58" t="str">
        <v/>
      </c>
      <c r="O58" t="str">
        <v/>
      </c>
      <c r="P58" t="str">
        <v/>
      </c>
      <c r="Q58" t="str">
        <v/>
      </c>
      <c r="R58" t="str">
        <v/>
      </c>
    </row>
    <row r="59">
      <c r="A59">
        <v>45126</v>
      </c>
      <c r="B59" t="str">
        <v>Teve Interesse</v>
      </c>
      <c r="C59">
        <v>1211</v>
      </c>
      <c r="D59" t="str">
        <v>Cristielen da Silva</v>
      </c>
      <c r="E59" t="str">
        <v>Televendas</v>
      </c>
      <c r="F59" t="str">
        <v>Vale dos Sinos</v>
      </c>
      <c r="G59" t="str">
        <v>Franciele</v>
      </c>
      <c r="H59" t="str">
        <v>DIA DO AÇAÍ | 45-120 DIAS | TELEVENDAS</v>
      </c>
      <c r="I59">
        <v>46198</v>
      </c>
      <c r="J59" t="str">
        <v>Não</v>
      </c>
      <c r="K59" t="str">
        <v/>
      </c>
      <c r="L59" t="str">
        <v/>
      </c>
      <c r="M59" t="str">
        <v/>
      </c>
      <c r="N59" t="str">
        <v/>
      </c>
      <c r="O59" t="str">
        <v/>
      </c>
      <c r="P59" t="str">
        <v/>
      </c>
      <c r="Q59" t="str">
        <v/>
      </c>
      <c r="R59" t="str">
        <v/>
      </c>
    </row>
    <row r="60">
      <c r="A60">
        <v>45284</v>
      </c>
      <c r="B60" t="str">
        <v>Teve Interesse</v>
      </c>
      <c r="C60">
        <v>1429</v>
      </c>
      <c r="D60" t="str">
        <v>Natália Bombardelli</v>
      </c>
      <c r="E60" t="str">
        <v>Televendas</v>
      </c>
      <c r="F60" t="str">
        <v>Geral</v>
      </c>
      <c r="G60" t="str">
        <v>Franciele</v>
      </c>
      <c r="H60" t="str">
        <v>DIA DO AÇAÍ | 45-120 DIAS | TELEVENDAS</v>
      </c>
      <c r="I60">
        <v>46198</v>
      </c>
      <c r="J60" t="str">
        <v>Não</v>
      </c>
      <c r="K60" t="str">
        <v/>
      </c>
      <c r="L60" t="str">
        <v/>
      </c>
      <c r="M60" t="str">
        <v/>
      </c>
      <c r="N60" t="str">
        <v/>
      </c>
      <c r="O60" t="str">
        <v/>
      </c>
      <c r="P60" t="str">
        <v/>
      </c>
      <c r="Q60" t="str">
        <v/>
      </c>
      <c r="R60" t="str">
        <v/>
      </c>
    </row>
    <row r="61">
      <c r="A61" t="str">
        <v xml:space="preserve">39962 </v>
      </c>
      <c r="B61" t="str">
        <v>Teve Interesse</v>
      </c>
      <c r="C61">
        <v>1575</v>
      </c>
      <c r="D61" t="str">
        <v>Jenifer Rodrigues</v>
      </c>
      <c r="E61" t="str">
        <v>Televendas</v>
      </c>
      <c r="F61" t="str">
        <v>Geral</v>
      </c>
      <c r="G61" t="str">
        <v>Franciele</v>
      </c>
      <c r="H61" t="str">
        <v>DIA DO AÇAÍ | 45-120 DIAS | TELEVENDAS</v>
      </c>
      <c r="I61">
        <v>46198</v>
      </c>
      <c r="J61" t="str">
        <v>Não</v>
      </c>
      <c r="K61" t="str">
        <v/>
      </c>
      <c r="L61" t="str">
        <v/>
      </c>
      <c r="M61" t="str">
        <v/>
      </c>
      <c r="N61" t="str">
        <v/>
      </c>
      <c r="O61" t="str">
        <v/>
      </c>
      <c r="P61" t="str">
        <v/>
      </c>
      <c r="Q61" t="str">
        <v/>
      </c>
      <c r="R61" t="str">
        <v/>
      </c>
    </row>
    <row r="62">
      <c r="A62" t="str">
        <v xml:space="preserve">44006 </v>
      </c>
      <c r="B62" t="str">
        <v>Teve Interesse</v>
      </c>
      <c r="C62">
        <v>1575</v>
      </c>
      <c r="D62" t="str">
        <v>Jenifer Rodrigues</v>
      </c>
      <c r="E62" t="str">
        <v>Televendas</v>
      </c>
      <c r="F62" t="str">
        <v>Geral</v>
      </c>
      <c r="G62" t="str">
        <v>Franciele</v>
      </c>
      <c r="H62" t="str">
        <v>DIA DO AÇAÍ | 45-120 DIAS | TELEVENDAS</v>
      </c>
      <c r="I62">
        <v>46198</v>
      </c>
      <c r="J62" t="str">
        <v>Não</v>
      </c>
      <c r="K62" t="str">
        <v/>
      </c>
      <c r="L62" t="str">
        <v/>
      </c>
      <c r="M62" t="str">
        <v/>
      </c>
      <c r="N62" t="str">
        <v/>
      </c>
      <c r="O62" t="str">
        <v/>
      </c>
      <c r="P62" t="str">
        <v/>
      </c>
      <c r="Q62" t="str">
        <v/>
      </c>
      <c r="R62" t="str">
        <v/>
      </c>
    </row>
    <row r="63">
      <c r="A63">
        <v>727</v>
      </c>
      <c r="B63" t="str">
        <v>Teve Interesse</v>
      </c>
      <c r="C63">
        <v>1623</v>
      </c>
      <c r="D63" t="str">
        <v>Wagner da Silva</v>
      </c>
      <c r="E63" t="str">
        <v>Externo</v>
      </c>
      <c r="F63" t="str">
        <v>Vale dos Sinos</v>
      </c>
      <c r="G63" t="str">
        <v>Leonardo</v>
      </c>
      <c r="H63" t="str">
        <v>DIA DO AÇAÍ | 45-120 DIAS | TELEVENDAS</v>
      </c>
      <c r="I63">
        <v>46199</v>
      </c>
      <c r="J63" t="str">
        <v>Sim</v>
      </c>
      <c r="K63">
        <v>491.6</v>
      </c>
      <c r="L63" t="str">
        <v/>
      </c>
      <c r="M63" t="str">
        <v/>
      </c>
      <c r="N63" t="str">
        <v/>
      </c>
      <c r="O63" t="str">
        <v/>
      </c>
      <c r="P63" t="str">
        <v/>
      </c>
      <c r="Q63" t="str">
        <v/>
      </c>
      <c r="R63" t="str">
        <v/>
      </c>
    </row>
    <row r="64">
      <c r="A64">
        <v>25029</v>
      </c>
      <c r="B64" t="str">
        <v>Teve Interesse</v>
      </c>
      <c r="C64">
        <v>9863</v>
      </c>
      <c r="D64" t="str">
        <v>Rose - Nelvara</v>
      </c>
      <c r="E64" t="str">
        <v>Externo</v>
      </c>
      <c r="F64" t="str">
        <v>Sul</v>
      </c>
      <c r="G64" t="str">
        <v>Moizes</v>
      </c>
      <c r="H64" t="str">
        <v>DIA DO AÇAÍ | 45-120 DIAS | TELEVENDAS</v>
      </c>
      <c r="I64">
        <v>46199</v>
      </c>
      <c r="J64" t="str">
        <v>Sim</v>
      </c>
      <c r="K64">
        <v>407.43</v>
      </c>
      <c r="L64" t="str">
        <v/>
      </c>
      <c r="M64" t="str">
        <v/>
      </c>
      <c r="N64" t="str">
        <v/>
      </c>
      <c r="O64" t="str">
        <v/>
      </c>
      <c r="P64" t="str">
        <v/>
      </c>
      <c r="Q64" t="str">
        <v/>
      </c>
      <c r="R64" t="str">
        <v/>
      </c>
    </row>
    <row r="65">
      <c r="A65">
        <v>25562</v>
      </c>
      <c r="B65" t="str">
        <v>Teve Interesse</v>
      </c>
      <c r="C65">
        <v>1211</v>
      </c>
      <c r="D65" t="str">
        <v>Cristielen da Silva</v>
      </c>
      <c r="E65" t="str">
        <v>Televendas</v>
      </c>
      <c r="F65" t="str">
        <v>Vale dos Sinos</v>
      </c>
      <c r="G65" t="str">
        <v>Franciele</v>
      </c>
      <c r="H65" t="str">
        <v>DIA DO AÇAÍ | 45-120 DIAS | TELEVENDAS</v>
      </c>
      <c r="I65">
        <v>46199</v>
      </c>
      <c r="J65" t="str">
        <v>Sim</v>
      </c>
      <c r="K65">
        <v>516.51</v>
      </c>
      <c r="L65" t="str">
        <v/>
      </c>
      <c r="M65" t="str">
        <v/>
      </c>
      <c r="N65" t="str">
        <v/>
      </c>
      <c r="O65" t="str">
        <v/>
      </c>
      <c r="P65" t="str">
        <v/>
      </c>
      <c r="Q65" t="str">
        <v/>
      </c>
      <c r="R65" t="str">
        <v/>
      </c>
    </row>
    <row r="66">
      <c r="A66">
        <v>28212</v>
      </c>
      <c r="B66" t="str">
        <v>Teve Interesse</v>
      </c>
      <c r="C66">
        <v>9808</v>
      </c>
      <c r="D66" t="str">
        <v>Marcelo de Souza</v>
      </c>
      <c r="E66" t="str">
        <v>Externo</v>
      </c>
      <c r="F66" t="str">
        <v>Sul</v>
      </c>
      <c r="G66" t="str">
        <v>Moizes</v>
      </c>
      <c r="H66" t="str">
        <v>DIA DO AÇAÍ | 45-120 DIAS | TELEVENDAS</v>
      </c>
      <c r="I66">
        <v>46199</v>
      </c>
      <c r="J66" t="str">
        <v>Não</v>
      </c>
      <c r="K66" t="str">
        <v/>
      </c>
      <c r="L66" t="str">
        <v/>
      </c>
      <c r="M66" t="str">
        <v/>
      </c>
      <c r="N66" t="str">
        <v/>
      </c>
      <c r="O66" t="str">
        <v/>
      </c>
      <c r="P66" t="str">
        <v/>
      </c>
      <c r="Q66" t="str">
        <v/>
      </c>
      <c r="R66" t="str">
        <v/>
      </c>
    </row>
    <row r="67">
      <c r="A67">
        <v>34654</v>
      </c>
      <c r="B67" t="str">
        <v>Teve Interesse</v>
      </c>
      <c r="C67">
        <v>9911</v>
      </c>
      <c r="D67" t="str">
        <v>Jairo Costa</v>
      </c>
      <c r="E67" t="str">
        <v>Externo</v>
      </c>
      <c r="F67" t="str">
        <v>Sul</v>
      </c>
      <c r="G67" t="str">
        <v>Moizes</v>
      </c>
      <c r="H67" t="str">
        <v>DIA DO AÇAÍ | 45-120 DIAS | TELEVENDAS</v>
      </c>
      <c r="I67">
        <v>46199</v>
      </c>
      <c r="J67" t="str">
        <v>Não</v>
      </c>
      <c r="K67" t="str">
        <v/>
      </c>
      <c r="L67" t="str">
        <v/>
      </c>
      <c r="M67" t="str">
        <v/>
      </c>
      <c r="N67" t="str">
        <v/>
      </c>
      <c r="O67" t="str">
        <v/>
      </c>
      <c r="P67" t="str">
        <v/>
      </c>
      <c r="Q67" t="str">
        <v/>
      </c>
      <c r="R67" t="str">
        <v/>
      </c>
    </row>
    <row r="68">
      <c r="A68">
        <v>36209</v>
      </c>
      <c r="B68" t="str">
        <v>Teve Interesse</v>
      </c>
      <c r="C68">
        <v>1234</v>
      </c>
      <c r="D68" t="str">
        <v>Elisiane Lambrechtt</v>
      </c>
      <c r="E68" t="str">
        <v>Externo</v>
      </c>
      <c r="F68" t="str">
        <v>Grande POA</v>
      </c>
      <c r="G68" t="str">
        <v>Juliano</v>
      </c>
      <c r="H68" t="str">
        <v>DIA DO AÇAÍ | 45-120 DIAS | TELEVENDAS</v>
      </c>
      <c r="I68">
        <v>46199</v>
      </c>
      <c r="J68" t="str">
        <v>Não</v>
      </c>
      <c r="K68" t="str">
        <v/>
      </c>
      <c r="L68" t="str">
        <v/>
      </c>
      <c r="M68" t="str">
        <v/>
      </c>
      <c r="N68" t="str">
        <v/>
      </c>
      <c r="O68" t="str">
        <v/>
      </c>
      <c r="P68" t="str">
        <v/>
      </c>
      <c r="Q68" t="str">
        <v/>
      </c>
      <c r="R68" t="str">
        <v/>
      </c>
    </row>
    <row r="69">
      <c r="A69">
        <v>37478</v>
      </c>
      <c r="B69" t="str">
        <v>Teve Interesse</v>
      </c>
      <c r="C69">
        <v>1450</v>
      </c>
      <c r="D69" t="str">
        <v>Fernando Moura</v>
      </c>
      <c r="E69" t="str">
        <v>Externo</v>
      </c>
      <c r="F69" t="str">
        <v>Serra</v>
      </c>
      <c r="G69" t="str">
        <v>Jackson</v>
      </c>
      <c r="H69" t="str">
        <v>DIA DO AÇAÍ | 45-120 DIAS | TELEVENDAS</v>
      </c>
      <c r="I69">
        <v>46199</v>
      </c>
      <c r="J69" t="str">
        <v>Sim</v>
      </c>
      <c r="K69">
        <v>329.55</v>
      </c>
      <c r="L69" t="str">
        <v/>
      </c>
      <c r="M69" t="str">
        <v/>
      </c>
      <c r="N69" t="str">
        <v/>
      </c>
      <c r="O69" t="str">
        <v/>
      </c>
      <c r="P69" t="str">
        <v/>
      </c>
      <c r="Q69" t="str">
        <v/>
      </c>
      <c r="R69" t="str">
        <v/>
      </c>
    </row>
    <row r="70">
      <c r="A70">
        <v>37952</v>
      </c>
      <c r="B70" t="str">
        <v>Teve Interesse</v>
      </c>
      <c r="C70">
        <v>1278</v>
      </c>
      <c r="D70" t="str">
        <v>Moacir Lopes</v>
      </c>
      <c r="E70" t="str">
        <v>Externo</v>
      </c>
      <c r="F70" t="str">
        <v>Grande POA</v>
      </c>
      <c r="G70" t="str">
        <v>Juliano</v>
      </c>
      <c r="H70" t="str">
        <v>DIA DO AÇAÍ | 45-120 DIAS | TELEVENDAS</v>
      </c>
      <c r="I70">
        <v>46199</v>
      </c>
      <c r="J70" t="str">
        <v>Não</v>
      </c>
      <c r="K70" t="str">
        <v/>
      </c>
      <c r="L70" t="str">
        <v/>
      </c>
      <c r="M70" t="str">
        <v/>
      </c>
      <c r="N70" t="str">
        <v/>
      </c>
      <c r="O70" t="str">
        <v/>
      </c>
      <c r="P70" t="str">
        <v/>
      </c>
      <c r="Q70" t="str">
        <v/>
      </c>
      <c r="R70" t="str">
        <v/>
      </c>
    </row>
    <row r="71">
      <c r="A71">
        <v>38462</v>
      </c>
      <c r="B71" t="str">
        <v>Teve Interesse</v>
      </c>
      <c r="C71">
        <v>9863</v>
      </c>
      <c r="D71" t="str">
        <v>Rose - Nelvara</v>
      </c>
      <c r="E71" t="str">
        <v>Externo</v>
      </c>
      <c r="F71" t="str">
        <v>Sul</v>
      </c>
      <c r="G71" t="str">
        <v>Moizes</v>
      </c>
      <c r="H71" t="str">
        <v>DIA DO AÇAÍ | 45-120 DIAS | TELEVENDAS</v>
      </c>
      <c r="I71">
        <v>46199</v>
      </c>
      <c r="J71" t="str">
        <v>Sim</v>
      </c>
      <c r="K71">
        <v>225.95</v>
      </c>
      <c r="L71" t="str">
        <v/>
      </c>
      <c r="M71" t="str">
        <v/>
      </c>
      <c r="N71" t="str">
        <v/>
      </c>
      <c r="O71" t="str">
        <v/>
      </c>
      <c r="P71" t="str">
        <v/>
      </c>
      <c r="Q71" t="str">
        <v/>
      </c>
      <c r="R71" t="str">
        <v/>
      </c>
    </row>
    <row r="72">
      <c r="A72">
        <v>39712</v>
      </c>
      <c r="B72" t="str">
        <v>Teve Interesse</v>
      </c>
      <c r="C72">
        <v>9872</v>
      </c>
      <c r="D72" t="str">
        <v>Viviane Botelho</v>
      </c>
      <c r="E72" t="str">
        <v>Externo</v>
      </c>
      <c r="F72" t="str">
        <v>Sul</v>
      </c>
      <c r="G72" t="str">
        <v>Moizes</v>
      </c>
      <c r="H72" t="str">
        <v>DIA DO AÇAÍ | 45-120 DIAS | TELEVENDAS</v>
      </c>
      <c r="I72">
        <v>46199</v>
      </c>
      <c r="J72" t="str">
        <v>Sim</v>
      </c>
      <c r="K72">
        <v>265.36</v>
      </c>
      <c r="L72" t="str">
        <v/>
      </c>
      <c r="M72" t="str">
        <v/>
      </c>
      <c r="N72" t="str">
        <v/>
      </c>
      <c r="O72" t="str">
        <v/>
      </c>
      <c r="P72" t="str">
        <v/>
      </c>
      <c r="Q72" t="str">
        <v/>
      </c>
      <c r="R72" t="str">
        <v/>
      </c>
    </row>
    <row r="73">
      <c r="A73">
        <v>39756</v>
      </c>
      <c r="B73" t="str">
        <v>Teve Interesse</v>
      </c>
      <c r="C73">
        <v>1596</v>
      </c>
      <c r="D73" t="str">
        <v>Ariane Quebao</v>
      </c>
      <c r="E73" t="str">
        <v>Televendas</v>
      </c>
      <c r="F73" t="str">
        <v>Grande POA</v>
      </c>
      <c r="G73" t="str">
        <v>Franciele</v>
      </c>
      <c r="H73" t="str">
        <v>DIA DO AÇAÍ | 45-120 DIAS | TELEVENDAS</v>
      </c>
      <c r="I73">
        <v>46199</v>
      </c>
      <c r="J73" t="str">
        <v>Não</v>
      </c>
      <c r="K73" t="str">
        <v/>
      </c>
      <c r="L73" t="str">
        <v/>
      </c>
      <c r="M73" t="str">
        <v/>
      </c>
      <c r="N73" t="str">
        <v/>
      </c>
      <c r="O73" t="str">
        <v/>
      </c>
      <c r="P73" t="str">
        <v/>
      </c>
      <c r="Q73" t="str">
        <v/>
      </c>
      <c r="R73" t="str">
        <v/>
      </c>
    </row>
    <row r="74">
      <c r="A74">
        <v>41569</v>
      </c>
      <c r="B74" t="str">
        <v>Teve Interesse</v>
      </c>
      <c r="C74">
        <v>1500</v>
      </c>
      <c r="D74" t="str">
        <v>Mauricio Keenan</v>
      </c>
      <c r="E74" t="str">
        <v>Externo</v>
      </c>
      <c r="F74" t="str">
        <v>Sul</v>
      </c>
      <c r="G74" t="str">
        <v>Moizes</v>
      </c>
      <c r="H74" t="str">
        <v>DIA DO AÇAÍ | 45-120 DIAS | TELEVENDAS</v>
      </c>
      <c r="I74">
        <v>46199</v>
      </c>
      <c r="J74" t="str">
        <v>Não</v>
      </c>
      <c r="K74" t="str">
        <v/>
      </c>
      <c r="L74" t="str">
        <v/>
      </c>
      <c r="M74" t="str">
        <v/>
      </c>
      <c r="N74" t="str">
        <v/>
      </c>
      <c r="O74" t="str">
        <v/>
      </c>
      <c r="P74" t="str">
        <v/>
      </c>
      <c r="Q74" t="str">
        <v/>
      </c>
      <c r="R74" t="str">
        <v/>
      </c>
    </row>
    <row r="75">
      <c r="A75">
        <v>41788</v>
      </c>
      <c r="B75" t="str">
        <v>Teve Interesse</v>
      </c>
      <c r="C75">
        <v>1211</v>
      </c>
      <c r="D75" t="str">
        <v>Cristielen da Silva</v>
      </c>
      <c r="E75" t="str">
        <v>Televendas</v>
      </c>
      <c r="F75" t="str">
        <v>Vale dos Sinos</v>
      </c>
      <c r="G75" t="str">
        <v>Franciele</v>
      </c>
      <c r="H75" t="str">
        <v>DIA DO AÇAÍ | 45-120 DIAS | TELEVENDAS</v>
      </c>
      <c r="I75">
        <v>46199</v>
      </c>
      <c r="J75" t="str">
        <v>Não</v>
      </c>
      <c r="K75" t="str">
        <v/>
      </c>
      <c r="L75" t="str">
        <v/>
      </c>
      <c r="M75" t="str">
        <v/>
      </c>
      <c r="N75" t="str">
        <v/>
      </c>
      <c r="O75" t="str">
        <v/>
      </c>
      <c r="P75" t="str">
        <v/>
      </c>
      <c r="Q75" t="str">
        <v/>
      </c>
      <c r="R75" t="str">
        <v/>
      </c>
    </row>
    <row r="76">
      <c r="A76">
        <v>42829</v>
      </c>
      <c r="B76" t="str">
        <v>Teve Interesse</v>
      </c>
      <c r="C76" t="str">
        <v/>
      </c>
      <c r="D76" t="str">
        <v>Vinicios da Luz</v>
      </c>
      <c r="E76" t="str">
        <v>Externo</v>
      </c>
      <c r="F76" t="str">
        <v>Litoral</v>
      </c>
      <c r="G76" t="str">
        <v>Muriel</v>
      </c>
      <c r="H76" t="str">
        <v>DIA DO AÇAÍ | 45-120 DIAS | TELEVENDAS</v>
      </c>
      <c r="I76">
        <v>46199</v>
      </c>
      <c r="J76" t="str">
        <v>Não</v>
      </c>
      <c r="K76" t="str">
        <v/>
      </c>
      <c r="L76" t="str">
        <v/>
      </c>
      <c r="M76" t="str">
        <v/>
      </c>
      <c r="N76" t="str">
        <v/>
      </c>
      <c r="O76" t="str">
        <v/>
      </c>
      <c r="P76" t="str">
        <v/>
      </c>
      <c r="Q76" t="str">
        <v/>
      </c>
      <c r="R76" t="str">
        <v/>
      </c>
    </row>
    <row r="77">
      <c r="A77">
        <v>43790</v>
      </c>
      <c r="B77" t="str">
        <v>Teve Interesse</v>
      </c>
      <c r="C77">
        <v>9886</v>
      </c>
      <c r="D77" t="str">
        <v>Tatiana | Serra</v>
      </c>
      <c r="E77" t="str">
        <v>Televendas</v>
      </c>
      <c r="F77" t="str">
        <v>Serra</v>
      </c>
      <c r="G77" t="str">
        <v>Franciele</v>
      </c>
      <c r="H77" t="str">
        <v>DIA DO AÇAÍ | 45-120 DIAS | TELEVENDAS</v>
      </c>
      <c r="I77">
        <v>46199</v>
      </c>
      <c r="J77" t="str">
        <v>Não</v>
      </c>
      <c r="K77" t="str">
        <v/>
      </c>
      <c r="L77" t="str">
        <v/>
      </c>
      <c r="M77" t="str">
        <v/>
      </c>
      <c r="N77" t="str">
        <v/>
      </c>
      <c r="O77" t="str">
        <v/>
      </c>
      <c r="P77" t="str">
        <v/>
      </c>
      <c r="Q77" t="str">
        <v/>
      </c>
      <c r="R77" t="str">
        <v/>
      </c>
    </row>
    <row r="78">
      <c r="A78">
        <v>43834</v>
      </c>
      <c r="B78" t="str">
        <v>Teve Interesse</v>
      </c>
      <c r="C78">
        <v>1273</v>
      </c>
      <c r="D78" t="str">
        <v>Bruno Santos</v>
      </c>
      <c r="E78" t="str">
        <v>Externo</v>
      </c>
      <c r="F78" t="str">
        <v>Litoral</v>
      </c>
      <c r="G78" t="str">
        <v>Muriel</v>
      </c>
      <c r="H78" t="str">
        <v>DIA DO AÇAÍ | 45-120 DIAS | TELEVENDAS</v>
      </c>
      <c r="I78">
        <v>46199</v>
      </c>
      <c r="J78" t="str">
        <v>Não</v>
      </c>
      <c r="K78" t="str">
        <v/>
      </c>
      <c r="L78" t="str">
        <v/>
      </c>
      <c r="M78" t="str">
        <v/>
      </c>
      <c r="N78" t="str">
        <v/>
      </c>
      <c r="O78" t="str">
        <v/>
      </c>
      <c r="P78" t="str">
        <v/>
      </c>
      <c r="Q78" t="str">
        <v/>
      </c>
      <c r="R78" t="str">
        <v/>
      </c>
    </row>
    <row r="79">
      <c r="A79">
        <v>43850</v>
      </c>
      <c r="B79" t="str">
        <v>Teve Interesse</v>
      </c>
      <c r="C79">
        <v>1211</v>
      </c>
      <c r="D79" t="str">
        <v>Cristielen da Silva</v>
      </c>
      <c r="E79" t="str">
        <v>Televendas</v>
      </c>
      <c r="F79" t="str">
        <v>Vale dos Sinos</v>
      </c>
      <c r="G79" t="str">
        <v>Franciele</v>
      </c>
      <c r="H79" t="str">
        <v>DIA DO AÇAÍ | 45-120 DIAS | TELEVENDAS</v>
      </c>
      <c r="I79">
        <v>46199</v>
      </c>
      <c r="J79" t="str">
        <v>Não</v>
      </c>
      <c r="K79" t="str">
        <v/>
      </c>
      <c r="L79" t="str">
        <v/>
      </c>
      <c r="M79" t="str">
        <v/>
      </c>
      <c r="N79" t="str">
        <v/>
      </c>
      <c r="O79" t="str">
        <v/>
      </c>
      <c r="P79" t="str">
        <v/>
      </c>
      <c r="Q79" t="str">
        <v/>
      </c>
      <c r="R79" t="str">
        <v/>
      </c>
    </row>
    <row r="80">
      <c r="A80">
        <v>44712</v>
      </c>
      <c r="B80" t="str">
        <v>Teve Interesse</v>
      </c>
      <c r="C80">
        <v>6127</v>
      </c>
      <c r="D80" t="str">
        <v>Paulo Renato</v>
      </c>
      <c r="E80" t="str">
        <v>Externo</v>
      </c>
      <c r="F80" t="str">
        <v>Litoral</v>
      </c>
      <c r="G80" t="str">
        <v>Muriel</v>
      </c>
      <c r="H80" t="str">
        <v>DIA DO AÇAÍ | 45-120 DIAS | TELEVENDAS</v>
      </c>
      <c r="I80">
        <v>46199</v>
      </c>
      <c r="J80" t="str">
        <v>Não</v>
      </c>
      <c r="K80" t="str">
        <v/>
      </c>
      <c r="L80" t="str">
        <v/>
      </c>
      <c r="M80" t="str">
        <v/>
      </c>
      <c r="N80" t="str">
        <v/>
      </c>
      <c r="O80" t="str">
        <v/>
      </c>
      <c r="P80" t="str">
        <v/>
      </c>
      <c r="Q80" t="str">
        <v/>
      </c>
      <c r="R80" t="str">
        <v/>
      </c>
    </row>
    <row r="81">
      <c r="A81">
        <v>44812</v>
      </c>
      <c r="B81" t="str">
        <v>Teve Interesse</v>
      </c>
      <c r="C81">
        <v>1623</v>
      </c>
      <c r="D81" t="str">
        <v>Wagner da Silva</v>
      </c>
      <c r="E81" t="str">
        <v>Externo</v>
      </c>
      <c r="F81" t="str">
        <v>Vale dos Sinos</v>
      </c>
      <c r="G81" t="str">
        <v>Leonardo</v>
      </c>
      <c r="H81" t="str">
        <v>DIA DO AÇAÍ | 45-120 DIAS | TELEVENDAS</v>
      </c>
      <c r="I81">
        <v>46199</v>
      </c>
      <c r="J81" t="str">
        <v>Não</v>
      </c>
      <c r="K81" t="str">
        <v/>
      </c>
      <c r="L81" t="str">
        <v/>
      </c>
      <c r="M81" t="str">
        <v/>
      </c>
      <c r="N81" t="str">
        <v/>
      </c>
      <c r="O81" t="str">
        <v/>
      </c>
      <c r="P81" t="str">
        <v/>
      </c>
      <c r="Q81" t="str">
        <v/>
      </c>
      <c r="R81" t="str">
        <v/>
      </c>
    </row>
    <row r="82">
      <c r="A82">
        <v>44840</v>
      </c>
      <c r="B82" t="str">
        <v>Teve Interesse</v>
      </c>
      <c r="C82">
        <v>1623</v>
      </c>
      <c r="D82" t="str">
        <v>Wagner da Silva</v>
      </c>
      <c r="E82" t="str">
        <v>Externo</v>
      </c>
      <c r="F82" t="str">
        <v>Vale dos Sinos</v>
      </c>
      <c r="G82" t="str">
        <v>Leonardo</v>
      </c>
      <c r="H82" t="str">
        <v>DIA DO AÇAÍ | 45-120 DIAS | TELEVENDAS</v>
      </c>
      <c r="I82">
        <v>46199</v>
      </c>
      <c r="J82" t="str">
        <v>Não</v>
      </c>
      <c r="K82" t="str">
        <v/>
      </c>
      <c r="L82" t="str">
        <v/>
      </c>
      <c r="M82" t="str">
        <v/>
      </c>
      <c r="N82" t="str">
        <v/>
      </c>
      <c r="O82" t="str">
        <v/>
      </c>
      <c r="P82" t="str">
        <v/>
      </c>
      <c r="Q82" t="str">
        <v/>
      </c>
      <c r="R82" t="str">
        <v/>
      </c>
    </row>
    <row r="83">
      <c r="A83">
        <v>44986</v>
      </c>
      <c r="B83" t="str">
        <v>Teve Interesse</v>
      </c>
      <c r="C83">
        <v>1544</v>
      </c>
      <c r="D83" t="str">
        <v>Juliano Lause</v>
      </c>
      <c r="E83" t="str">
        <v>Externo</v>
      </c>
      <c r="F83" t="str">
        <v>Grande POA</v>
      </c>
      <c r="G83" t="str">
        <v>Juliano</v>
      </c>
      <c r="H83" t="str">
        <v>DIA DO AÇAÍ | 45-120 DIAS | TELEVENDAS</v>
      </c>
      <c r="I83">
        <v>46199</v>
      </c>
      <c r="J83" t="str">
        <v>Não</v>
      </c>
      <c r="K83" t="str">
        <v/>
      </c>
      <c r="L83" t="str">
        <v/>
      </c>
      <c r="M83" t="str">
        <v/>
      </c>
      <c r="N83" t="str">
        <v/>
      </c>
      <c r="O83" t="str">
        <v/>
      </c>
      <c r="P83" t="str">
        <v/>
      </c>
      <c r="Q83" t="str">
        <v/>
      </c>
      <c r="R83" t="str">
        <v/>
      </c>
    </row>
    <row r="84">
      <c r="A84">
        <v>45474</v>
      </c>
      <c r="B84" t="str">
        <v>Teve Interesse</v>
      </c>
      <c r="C84">
        <v>1273</v>
      </c>
      <c r="D84" t="str">
        <v>Bruno Santos</v>
      </c>
      <c r="E84" t="str">
        <v>Externo</v>
      </c>
      <c r="F84" t="str">
        <v>Litoral</v>
      </c>
      <c r="G84" t="str">
        <v>Muriel</v>
      </c>
      <c r="H84" t="str">
        <v>DIA DO AÇAÍ | 45-120 DIAS | TELEVENDAS</v>
      </c>
      <c r="I84">
        <v>46199</v>
      </c>
      <c r="J84" t="str">
        <v>Sim</v>
      </c>
      <c r="K84">
        <v>358.93</v>
      </c>
      <c r="L84" t="str">
        <v/>
      </c>
      <c r="M84" t="str">
        <v/>
      </c>
      <c r="N84" t="str">
        <v/>
      </c>
      <c r="O84" t="str">
        <v/>
      </c>
      <c r="P84" t="str">
        <v/>
      </c>
      <c r="Q84" t="str">
        <v/>
      </c>
      <c r="R84" t="str">
        <v/>
      </c>
    </row>
    <row r="85">
      <c r="A85">
        <v>28472</v>
      </c>
      <c r="B85" t="str">
        <v>Teve Interesse</v>
      </c>
      <c r="C85">
        <v>9886</v>
      </c>
      <c r="D85" t="str">
        <v>Tatiana | Serra</v>
      </c>
      <c r="E85" t="str">
        <v>Televendas</v>
      </c>
      <c r="F85" t="str">
        <v>Serra</v>
      </c>
      <c r="G85" t="str">
        <v>Franciele</v>
      </c>
      <c r="H85" t="str">
        <v>PROSPECÇÃO CNPJ | 45-365 DIAS | TELEVENDAS</v>
      </c>
      <c r="I85">
        <v>46203</v>
      </c>
      <c r="J85" t="str">
        <v>Não</v>
      </c>
      <c r="K85" t="str">
        <v/>
      </c>
      <c r="L85" t="str">
        <v/>
      </c>
      <c r="M85" t="str">
        <v/>
      </c>
      <c r="N85" t="str">
        <v/>
      </c>
      <c r="O85" t="str">
        <v/>
      </c>
      <c r="P85" t="str">
        <v/>
      </c>
      <c r="Q85" t="str">
        <v/>
      </c>
      <c r="R85" t="str">
        <v/>
      </c>
    </row>
    <row r="86">
      <c r="A86">
        <v>33900</v>
      </c>
      <c r="B86" t="str">
        <v>Teve Interesse</v>
      </c>
      <c r="C86">
        <v>1464</v>
      </c>
      <c r="D86" t="str">
        <v>Camila Arruda</v>
      </c>
      <c r="E86" t="str">
        <v>Televendas</v>
      </c>
      <c r="F86" t="str">
        <v>Sul</v>
      </c>
      <c r="G86" t="str">
        <v>Franciele</v>
      </c>
      <c r="H86" t="str">
        <v>PROSPECÇÃO CNPJ | 45-365 DIAS | TELEVENDAS</v>
      </c>
      <c r="I86">
        <v>46203</v>
      </c>
      <c r="J86" t="str">
        <v>Não</v>
      </c>
      <c r="K86" t="str">
        <v/>
      </c>
      <c r="L86" t="str">
        <v/>
      </c>
      <c r="M86" t="str">
        <v/>
      </c>
      <c r="N86" t="str">
        <v/>
      </c>
      <c r="O86" t="str">
        <v/>
      </c>
      <c r="P86" t="str">
        <v/>
      </c>
      <c r="Q86" t="str">
        <v/>
      </c>
      <c r="R86" t="str">
        <v/>
      </c>
    </row>
    <row r="87">
      <c r="A87">
        <v>40182</v>
      </c>
      <c r="B87" t="str">
        <v>Teve Interesse</v>
      </c>
      <c r="C87">
        <v>1596</v>
      </c>
      <c r="D87" t="str">
        <v>Ariane Quebao</v>
      </c>
      <c r="E87" t="str">
        <v>Televendas</v>
      </c>
      <c r="F87" t="str">
        <v>Grande POA</v>
      </c>
      <c r="G87" t="str">
        <v>Franciele</v>
      </c>
      <c r="H87" t="str">
        <v>PROSPECÇÃO CNPJ | 45-365 DIAS | TELEVENDAS</v>
      </c>
      <c r="I87">
        <v>46203</v>
      </c>
      <c r="J87" t="str">
        <v>Não</v>
      </c>
      <c r="K87" t="str">
        <v/>
      </c>
      <c r="L87" t="str">
        <v/>
      </c>
      <c r="M87" t="str">
        <v/>
      </c>
      <c r="N87" t="str">
        <v/>
      </c>
      <c r="O87" t="str">
        <v/>
      </c>
      <c r="P87" t="str">
        <v/>
      </c>
      <c r="Q87" t="str">
        <v/>
      </c>
      <c r="R87" t="str">
        <v/>
      </c>
    </row>
    <row r="88">
      <c r="A88">
        <v>40431</v>
      </c>
      <c r="B88" t="str">
        <v>Teve Interesse</v>
      </c>
      <c r="C88">
        <v>1596</v>
      </c>
      <c r="D88" t="str">
        <v>Ariane Quebao</v>
      </c>
      <c r="E88" t="str">
        <v>Televendas</v>
      </c>
      <c r="F88" t="str">
        <v>Grande POA</v>
      </c>
      <c r="G88" t="str">
        <v>Franciele</v>
      </c>
      <c r="H88" t="str">
        <v>PROSPECÇÃO CNPJ | 45-365 DIAS | TELEVENDAS</v>
      </c>
      <c r="I88">
        <v>46203</v>
      </c>
      <c r="J88" t="str">
        <v>Não</v>
      </c>
      <c r="K88" t="str">
        <v/>
      </c>
      <c r="L88" t="str">
        <v/>
      </c>
      <c r="M88" t="str">
        <v/>
      </c>
      <c r="N88" t="str">
        <v/>
      </c>
      <c r="O88" t="str">
        <v/>
      </c>
      <c r="P88" t="str">
        <v/>
      </c>
      <c r="Q88" t="str">
        <v/>
      </c>
      <c r="R88" t="str">
        <v/>
      </c>
    </row>
    <row r="89">
      <c r="A89">
        <v>41258</v>
      </c>
      <c r="B89" t="str">
        <v>Teve Interesse</v>
      </c>
      <c r="C89">
        <v>1596</v>
      </c>
      <c r="D89" t="str">
        <v>Ariane Quebao</v>
      </c>
      <c r="E89" t="str">
        <v>Televendas</v>
      </c>
      <c r="F89" t="str">
        <v>Grande POA</v>
      </c>
      <c r="G89" t="str">
        <v>Franciele</v>
      </c>
      <c r="H89" t="str">
        <v>PROSPECÇÃO CNPJ | 45-365 DIAS | TELEVENDAS</v>
      </c>
      <c r="I89">
        <v>46203</v>
      </c>
      <c r="J89" t="str">
        <v>Não</v>
      </c>
      <c r="K89" t="str">
        <v/>
      </c>
      <c r="L89" t="str">
        <v/>
      </c>
      <c r="M89" t="str">
        <v/>
      </c>
      <c r="N89" t="str">
        <v/>
      </c>
      <c r="O89" t="str">
        <v/>
      </c>
      <c r="P89" t="str">
        <v/>
      </c>
      <c r="Q89" t="str">
        <v/>
      </c>
      <c r="R89" t="str">
        <v/>
      </c>
    </row>
    <row r="90">
      <c r="A90">
        <v>41521</v>
      </c>
      <c r="B90" t="str">
        <v>Teve Interesse</v>
      </c>
      <c r="C90">
        <v>1596</v>
      </c>
      <c r="D90" t="str">
        <v>Ariane Quebao</v>
      </c>
      <c r="E90" t="str">
        <v>Televendas</v>
      </c>
      <c r="F90" t="str">
        <v>Grande POA</v>
      </c>
      <c r="G90" t="str">
        <v>Franciele</v>
      </c>
      <c r="H90" t="str">
        <v>PROSPECÇÃO CNPJ | 45-365 DIAS | TELEVENDAS</v>
      </c>
      <c r="I90">
        <v>46203</v>
      </c>
      <c r="J90" t="str">
        <v>Não</v>
      </c>
      <c r="K90" t="str">
        <v/>
      </c>
      <c r="L90" t="str">
        <v/>
      </c>
      <c r="M90" t="str">
        <v/>
      </c>
      <c r="N90" t="str">
        <v/>
      </c>
      <c r="O90" t="str">
        <v/>
      </c>
      <c r="P90" t="str">
        <v/>
      </c>
      <c r="Q90" t="str">
        <v/>
      </c>
      <c r="R90" t="str">
        <v/>
      </c>
    </row>
    <row r="91">
      <c r="A91">
        <v>41840</v>
      </c>
      <c r="B91" t="str">
        <v>Teve Interesse</v>
      </c>
      <c r="C91">
        <v>1464</v>
      </c>
      <c r="D91" t="str">
        <v>Camila Arruda</v>
      </c>
      <c r="E91" t="str">
        <v>Televendas</v>
      </c>
      <c r="F91" t="str">
        <v>Sul</v>
      </c>
      <c r="G91" t="str">
        <v>Franciele</v>
      </c>
      <c r="H91" t="str">
        <v>PROSPECÇÃO CNPJ | 45-365 DIAS | TELEVENDAS</v>
      </c>
      <c r="I91">
        <v>46203</v>
      </c>
      <c r="J91" t="str">
        <v>Não</v>
      </c>
      <c r="K91" t="str">
        <v/>
      </c>
      <c r="L91" t="str">
        <v/>
      </c>
      <c r="M91" t="str">
        <v/>
      </c>
      <c r="N91" t="str">
        <v/>
      </c>
      <c r="O91" t="str">
        <v/>
      </c>
      <c r="P91" t="str">
        <v/>
      </c>
      <c r="Q91" t="str">
        <v/>
      </c>
      <c r="R91" t="str">
        <v/>
      </c>
    </row>
    <row r="92">
      <c r="A92">
        <v>43879</v>
      </c>
      <c r="B92" t="str">
        <v>Teve Interesse</v>
      </c>
      <c r="C92">
        <v>1429</v>
      </c>
      <c r="D92" t="str">
        <v>Natália Bombardelli</v>
      </c>
      <c r="E92" t="str">
        <v>Televendas</v>
      </c>
      <c r="F92" t="str">
        <v>Geral</v>
      </c>
      <c r="G92" t="str">
        <v>Franciele</v>
      </c>
      <c r="H92" t="str">
        <v>PROSPECÇÃO CNPJ | 45-365 DIAS | TELEVENDAS</v>
      </c>
      <c r="I92">
        <v>46203</v>
      </c>
      <c r="J92" t="str">
        <v>Não</v>
      </c>
      <c r="K92" t="str">
        <v/>
      </c>
      <c r="L92" t="str">
        <v/>
      </c>
      <c r="M92" t="str">
        <v/>
      </c>
      <c r="N92" t="str">
        <v/>
      </c>
      <c r="O92" t="str">
        <v/>
      </c>
      <c r="P92" t="str">
        <v/>
      </c>
      <c r="Q92" t="str">
        <v/>
      </c>
      <c r="R92" t="str">
        <v/>
      </c>
    </row>
    <row r="93">
      <c r="A93">
        <v>44422</v>
      </c>
      <c r="B93" t="str">
        <v>Teve Interesse</v>
      </c>
      <c r="C93">
        <v>9886</v>
      </c>
      <c r="D93" t="str">
        <v>Tatiana | Serra</v>
      </c>
      <c r="E93" t="str">
        <v>Televendas</v>
      </c>
      <c r="F93" t="str">
        <v>Serra</v>
      </c>
      <c r="G93" t="str">
        <v>Franciele</v>
      </c>
      <c r="H93" t="str">
        <v>PROSPECÇÃO CNPJ | 45-365 DIAS | TELEVENDAS</v>
      </c>
      <c r="I93">
        <v>46203</v>
      </c>
      <c r="J93" t="str">
        <v>Não</v>
      </c>
      <c r="K93" t="str">
        <v/>
      </c>
      <c r="L93" t="str">
        <v/>
      </c>
      <c r="M93" t="str">
        <v/>
      </c>
      <c r="N93" t="str">
        <v/>
      </c>
      <c r="O93" t="str">
        <v/>
      </c>
      <c r="P93" t="str">
        <v/>
      </c>
      <c r="Q93" t="str">
        <v/>
      </c>
      <c r="R93" t="str">
        <v/>
      </c>
    </row>
    <row r="94">
      <c r="A94">
        <v>44481</v>
      </c>
      <c r="B94" t="str">
        <v>Teve Interesse</v>
      </c>
      <c r="C94">
        <v>1623</v>
      </c>
      <c r="D94" t="str">
        <v>Wagner da Silva</v>
      </c>
      <c r="E94" t="str">
        <v>Externo</v>
      </c>
      <c r="F94" t="str">
        <v>Vale dos Sinos</v>
      </c>
      <c r="G94" t="str">
        <v>Leonardo</v>
      </c>
      <c r="H94" t="str">
        <v>CAMPANHA BRASIL VENCEU | 20-44 DIAS | REPRESENTANTES</v>
      </c>
      <c r="I94">
        <v>46203</v>
      </c>
      <c r="J94" t="str">
        <v>Não</v>
      </c>
      <c r="K94" t="str">
        <v/>
      </c>
      <c r="L94" t="str">
        <v/>
      </c>
      <c r="M94" t="str">
        <v/>
      </c>
      <c r="N94" t="str">
        <v/>
      </c>
      <c r="O94" t="str">
        <v/>
      </c>
      <c r="P94" t="str">
        <v/>
      </c>
      <c r="Q94" t="str">
        <v/>
      </c>
      <c r="R94" t="str">
        <v/>
      </c>
    </row>
    <row r="95">
      <c r="A95">
        <v>13077</v>
      </c>
      <c r="B95" t="str">
        <v>Teve Interesse</v>
      </c>
      <c r="C95">
        <v>1464</v>
      </c>
      <c r="D95" t="str">
        <v>Camila Arruda</v>
      </c>
      <c r="E95" t="str">
        <v>Televendas</v>
      </c>
      <c r="F95" t="str">
        <v>Sul</v>
      </c>
      <c r="G95" t="str">
        <v>Franciele</v>
      </c>
      <c r="H95" t="str">
        <v>VOUCHER | 45-365 DIAS | TELEVENDAS</v>
      </c>
      <c r="I95">
        <v>46204</v>
      </c>
      <c r="J95" t="str">
        <v>Não</v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</row>
    <row r="96">
      <c r="A96">
        <v>22385</v>
      </c>
      <c r="B96" t="str">
        <v>Teve Interesse</v>
      </c>
      <c r="C96">
        <v>1464</v>
      </c>
      <c r="D96" t="str">
        <v>Camila Arruda</v>
      </c>
      <c r="E96" t="str">
        <v>Televendas</v>
      </c>
      <c r="F96" t="str">
        <v>Sul</v>
      </c>
      <c r="G96" t="str">
        <v>Franciele</v>
      </c>
      <c r="H96" t="str">
        <v>VOUCHER | 45-365 DIAS | TELEVENDAS</v>
      </c>
      <c r="I96">
        <v>46204</v>
      </c>
      <c r="J96" t="str">
        <v>Não</v>
      </c>
      <c r="K96" t="str">
        <v/>
      </c>
      <c r="L96" t="str">
        <v/>
      </c>
      <c r="M96" t="str">
        <v/>
      </c>
      <c r="N96" t="str">
        <v/>
      </c>
      <c r="O96" t="str">
        <v/>
      </c>
      <c r="P96" t="str">
        <v/>
      </c>
      <c r="Q96" t="str">
        <v/>
      </c>
      <c r="R96" t="str">
        <v/>
      </c>
    </row>
    <row r="97">
      <c r="A97">
        <v>24281</v>
      </c>
      <c r="B97" t="str">
        <v>Teve Interesse</v>
      </c>
      <c r="C97">
        <v>9886</v>
      </c>
      <c r="D97" t="str">
        <v>Tatiana | Serra</v>
      </c>
      <c r="E97" t="str">
        <v>Televendas</v>
      </c>
      <c r="F97" t="str">
        <v>Serra</v>
      </c>
      <c r="G97" t="str">
        <v>Franciele</v>
      </c>
      <c r="H97" t="str">
        <v>VOUCHER | 45-365 DIAS | TELEVENDAS</v>
      </c>
      <c r="I97">
        <v>46204</v>
      </c>
      <c r="J97" t="str">
        <v>Não</v>
      </c>
      <c r="K97" t="str">
        <v/>
      </c>
      <c r="L97" t="str">
        <v/>
      </c>
      <c r="M97" t="str">
        <v/>
      </c>
      <c r="N97" t="str">
        <v/>
      </c>
      <c r="O97" t="str">
        <v/>
      </c>
      <c r="P97" t="str">
        <v/>
      </c>
      <c r="Q97" t="str">
        <v/>
      </c>
      <c r="R97" t="str">
        <v/>
      </c>
    </row>
    <row r="98">
      <c r="A98">
        <v>26799</v>
      </c>
      <c r="B98" t="str">
        <v>Teve Interesse</v>
      </c>
      <c r="C98">
        <v>1429</v>
      </c>
      <c r="D98" t="str">
        <v>Natália Bombardelli</v>
      </c>
      <c r="E98" t="str">
        <v>Televendas</v>
      </c>
      <c r="F98" t="str">
        <v>Geral</v>
      </c>
      <c r="G98" t="str">
        <v>Franciele</v>
      </c>
      <c r="H98" t="str">
        <v>VOUCHER | 45-365 DIAS | TELEVENDAS</v>
      </c>
      <c r="I98">
        <v>46204</v>
      </c>
      <c r="J98" t="str">
        <v>Não</v>
      </c>
      <c r="K98" t="str">
        <v/>
      </c>
      <c r="L98" t="str">
        <v/>
      </c>
      <c r="M98" t="str">
        <v/>
      </c>
      <c r="N98" t="str">
        <v/>
      </c>
      <c r="O98" t="str">
        <v/>
      </c>
      <c r="P98" t="str">
        <v/>
      </c>
      <c r="Q98" t="str">
        <v/>
      </c>
      <c r="R98" t="str">
        <v/>
      </c>
    </row>
    <row r="99">
      <c r="A99">
        <v>28038</v>
      </c>
      <c r="B99" t="str">
        <v>Teve Interesse</v>
      </c>
      <c r="C99">
        <v>1211</v>
      </c>
      <c r="D99" t="str">
        <v>Cristielen da Silva</v>
      </c>
      <c r="E99" t="str">
        <v>Televendas</v>
      </c>
      <c r="F99" t="str">
        <v>Vale dos Sinos</v>
      </c>
      <c r="G99" t="str">
        <v>Franciele</v>
      </c>
      <c r="H99" t="str">
        <v>VOUCHER | 45-365 DIAS | TELEVENDAS</v>
      </c>
      <c r="I99">
        <v>46204</v>
      </c>
      <c r="J99" t="str">
        <v>Não</v>
      </c>
      <c r="K99" t="str">
        <v/>
      </c>
      <c r="L99" t="str">
        <v/>
      </c>
      <c r="M99" t="str">
        <v/>
      </c>
      <c r="N99" t="str">
        <v/>
      </c>
      <c r="O99" t="str">
        <v/>
      </c>
      <c r="P99" t="str">
        <v/>
      </c>
      <c r="Q99" t="str">
        <v/>
      </c>
      <c r="R99" t="str">
        <v/>
      </c>
    </row>
    <row r="100">
      <c r="A100">
        <v>29214</v>
      </c>
      <c r="B100" t="str">
        <v>Teve Interesse</v>
      </c>
      <c r="C100">
        <v>1211</v>
      </c>
      <c r="D100" t="str">
        <v>Cristielen da Silva</v>
      </c>
      <c r="E100" t="str">
        <v>Televendas</v>
      </c>
      <c r="F100" t="str">
        <v>Vale dos Sinos</v>
      </c>
      <c r="G100" t="str">
        <v>Franciele</v>
      </c>
      <c r="H100" t="str">
        <v>VOUCHER | 45-365 DIAS | TELEVENDAS</v>
      </c>
      <c r="I100">
        <v>46204</v>
      </c>
      <c r="J100" t="str">
        <v>Não</v>
      </c>
      <c r="K100" t="str">
        <v/>
      </c>
      <c r="L100" t="str">
        <v/>
      </c>
      <c r="M100" t="str">
        <v/>
      </c>
      <c r="N100" t="str">
        <v/>
      </c>
      <c r="O100" t="str">
        <v/>
      </c>
      <c r="P100" t="str">
        <v/>
      </c>
      <c r="Q100" t="str">
        <v/>
      </c>
      <c r="R100" t="str">
        <v/>
      </c>
    </row>
    <row r="101">
      <c r="A101">
        <v>33381</v>
      </c>
      <c r="B101" t="str">
        <v>Teve Interesse</v>
      </c>
      <c r="C101">
        <v>1604</v>
      </c>
      <c r="D101" t="str">
        <v>Thiago Fraga</v>
      </c>
      <c r="E101" t="str">
        <v>Externo</v>
      </c>
      <c r="F101" t="str">
        <v>Vale dos Sinos</v>
      </c>
      <c r="G101" t="str">
        <v>Leonardo</v>
      </c>
      <c r="H101" t="str">
        <v>VOUCHER | 45-365 DIAS | TELEVENDAS</v>
      </c>
      <c r="I101">
        <v>46204</v>
      </c>
      <c r="J101" t="str">
        <v>Não</v>
      </c>
      <c r="K101" t="str">
        <v/>
      </c>
      <c r="L101" t="str">
        <v/>
      </c>
      <c r="M101" t="str">
        <v/>
      </c>
      <c r="N101" t="str">
        <v/>
      </c>
      <c r="O101" t="str">
        <v/>
      </c>
      <c r="P101" t="str">
        <v/>
      </c>
      <c r="Q101" t="str">
        <v/>
      </c>
      <c r="R101" t="str">
        <v/>
      </c>
    </row>
    <row r="102">
      <c r="A102">
        <v>34108</v>
      </c>
      <c r="B102" t="str">
        <v>Teve Interesse</v>
      </c>
      <c r="C102">
        <v>1211</v>
      </c>
      <c r="D102" t="str">
        <v>Cristielen da Silva</v>
      </c>
      <c r="E102" t="str">
        <v>Televendas</v>
      </c>
      <c r="F102" t="str">
        <v>Vale dos Sinos</v>
      </c>
      <c r="G102" t="str">
        <v>Franciele</v>
      </c>
      <c r="H102" t="str">
        <v>VOUCHER | 45-365 DIAS | TELEVENDAS</v>
      </c>
      <c r="I102">
        <v>46204</v>
      </c>
      <c r="J102" t="str">
        <v>Não</v>
      </c>
      <c r="K102" t="str">
        <v/>
      </c>
      <c r="L102" t="str">
        <v/>
      </c>
      <c r="M102" t="str">
        <v/>
      </c>
      <c r="N102" t="str">
        <v/>
      </c>
      <c r="O102" t="str">
        <v/>
      </c>
      <c r="P102" t="str">
        <v/>
      </c>
      <c r="Q102" t="str">
        <v/>
      </c>
      <c r="R102" t="str">
        <v/>
      </c>
    </row>
    <row r="103">
      <c r="A103">
        <v>34203</v>
      </c>
      <c r="B103" t="str">
        <v>Teve Interesse</v>
      </c>
      <c r="C103">
        <v>1429</v>
      </c>
      <c r="D103" t="str">
        <v>Natália Bombardelli</v>
      </c>
      <c r="E103" t="str">
        <v>Televendas</v>
      </c>
      <c r="F103" t="str">
        <v>Geral</v>
      </c>
      <c r="G103" t="str">
        <v>Franciele</v>
      </c>
      <c r="H103" t="str">
        <v>VOUCHER | 45-365 DIAS | TELEVENDAS</v>
      </c>
      <c r="I103">
        <v>46204</v>
      </c>
      <c r="J103" t="str">
        <v>Não</v>
      </c>
      <c r="K103" t="str">
        <v/>
      </c>
      <c r="L103" t="str">
        <v/>
      </c>
      <c r="M103" t="str">
        <v/>
      </c>
      <c r="N103" t="str">
        <v/>
      </c>
      <c r="O103" t="str">
        <v/>
      </c>
      <c r="P103" t="str">
        <v/>
      </c>
      <c r="Q103" t="str">
        <v/>
      </c>
      <c r="R103" t="str">
        <v/>
      </c>
    </row>
    <row r="104">
      <c r="A104">
        <v>34855</v>
      </c>
      <c r="B104" t="str">
        <v>Teve Interesse</v>
      </c>
      <c r="C104">
        <v>1211</v>
      </c>
      <c r="D104" t="str">
        <v>Cristielen da Silva</v>
      </c>
      <c r="E104" t="str">
        <v>Televendas</v>
      </c>
      <c r="F104" t="str">
        <v>Vale dos Sinos</v>
      </c>
      <c r="G104" t="str">
        <v>Franciele</v>
      </c>
      <c r="H104" t="str">
        <v>VOUCHER | 45-365 DIAS | TELEVENDAS</v>
      </c>
      <c r="I104">
        <v>46204</v>
      </c>
      <c r="J104" t="str">
        <v>Não</v>
      </c>
      <c r="K104" t="str">
        <v/>
      </c>
      <c r="L104" t="str">
        <v/>
      </c>
      <c r="M104" t="str">
        <v/>
      </c>
      <c r="N104" t="str">
        <v/>
      </c>
      <c r="O104" t="str">
        <v/>
      </c>
      <c r="P104" t="str">
        <v/>
      </c>
      <c r="Q104" t="str">
        <v/>
      </c>
      <c r="R104" t="str">
        <v/>
      </c>
    </row>
    <row r="105">
      <c r="A105">
        <v>35916</v>
      </c>
      <c r="B105" t="str">
        <v>Teve Interesse</v>
      </c>
      <c r="C105">
        <v>1596</v>
      </c>
      <c r="D105" t="str">
        <v>Ariane Quebao</v>
      </c>
      <c r="E105" t="str">
        <v>Televendas</v>
      </c>
      <c r="F105" t="str">
        <v>Grande POA</v>
      </c>
      <c r="G105" t="str">
        <v>Franciele</v>
      </c>
      <c r="H105" t="str">
        <v>VOUCHER | 45-365 DIAS | TELEVENDAS</v>
      </c>
      <c r="I105">
        <v>46204</v>
      </c>
      <c r="J105" t="str">
        <v>Não</v>
      </c>
      <c r="K105" t="str">
        <v/>
      </c>
      <c r="L105" t="str">
        <v/>
      </c>
      <c r="M105" t="str">
        <v/>
      </c>
      <c r="N105" t="str">
        <v/>
      </c>
      <c r="O105" t="str">
        <v/>
      </c>
      <c r="P105" t="str">
        <v/>
      </c>
      <c r="Q105" t="str">
        <v/>
      </c>
      <c r="R105" t="str">
        <v/>
      </c>
    </row>
    <row r="106">
      <c r="A106">
        <v>36402</v>
      </c>
      <c r="B106" t="str">
        <v>Teve Interesse</v>
      </c>
      <c r="C106">
        <v>1464</v>
      </c>
      <c r="D106" t="str">
        <v>Camila Arruda</v>
      </c>
      <c r="E106" t="str">
        <v>Televendas</v>
      </c>
      <c r="F106" t="str">
        <v>Sul</v>
      </c>
      <c r="G106" t="str">
        <v>Franciele</v>
      </c>
      <c r="H106" t="str">
        <v>VOUCHER | 45-365 DIAS | TELEVENDAS</v>
      </c>
      <c r="I106">
        <v>46204</v>
      </c>
      <c r="J106" t="str">
        <v>Não</v>
      </c>
      <c r="K106" t="str">
        <v/>
      </c>
      <c r="L106" t="str">
        <v/>
      </c>
      <c r="M106" t="str">
        <v/>
      </c>
      <c r="N106" t="str">
        <v/>
      </c>
      <c r="O106" t="str">
        <v/>
      </c>
      <c r="P106" t="str">
        <v/>
      </c>
      <c r="Q106" t="str">
        <v/>
      </c>
      <c r="R106" t="str">
        <v/>
      </c>
    </row>
    <row r="107">
      <c r="A107">
        <v>36424</v>
      </c>
      <c r="B107" t="str">
        <v>Teve Interesse</v>
      </c>
      <c r="C107">
        <v>1429</v>
      </c>
      <c r="D107" t="str">
        <v>Natália Bombardelli</v>
      </c>
      <c r="E107" t="str">
        <v>Televendas</v>
      </c>
      <c r="F107" t="str">
        <v>Geral</v>
      </c>
      <c r="G107" t="str">
        <v>Franciele</v>
      </c>
      <c r="H107" t="str">
        <v>VOUCHER | 45-365 DIAS | TELEVENDAS</v>
      </c>
      <c r="I107">
        <v>46204</v>
      </c>
      <c r="J107" t="str">
        <v>Não</v>
      </c>
      <c r="K107" t="str">
        <v/>
      </c>
      <c r="L107" t="str">
        <v/>
      </c>
      <c r="M107" t="str">
        <v/>
      </c>
      <c r="N107" t="str">
        <v/>
      </c>
      <c r="O107" t="str">
        <v/>
      </c>
      <c r="P107" t="str">
        <v/>
      </c>
      <c r="Q107" t="str">
        <v/>
      </c>
      <c r="R107" t="str">
        <v/>
      </c>
    </row>
    <row r="108">
      <c r="A108">
        <v>36790</v>
      </c>
      <c r="B108" t="str">
        <v>Teve Interesse</v>
      </c>
      <c r="C108">
        <v>1429</v>
      </c>
      <c r="D108" t="str">
        <v>Natália Bombardelli</v>
      </c>
      <c r="E108" t="str">
        <v>Televendas</v>
      </c>
      <c r="F108" t="str">
        <v>Geral</v>
      </c>
      <c r="G108" t="str">
        <v>Franciele</v>
      </c>
      <c r="H108" t="str">
        <v>VOUCHER | 45-365 DIAS | TELEVENDAS</v>
      </c>
      <c r="I108">
        <v>46204</v>
      </c>
      <c r="J108" t="str">
        <v>Não</v>
      </c>
      <c r="K108" t="str">
        <v/>
      </c>
      <c r="L108" t="str">
        <v/>
      </c>
      <c r="M108" t="str">
        <v/>
      </c>
      <c r="N108" t="str">
        <v/>
      </c>
      <c r="O108" t="str">
        <v/>
      </c>
      <c r="P108" t="str">
        <v/>
      </c>
      <c r="Q108" t="str">
        <v/>
      </c>
      <c r="R108" t="str">
        <v/>
      </c>
    </row>
    <row r="109">
      <c r="A109">
        <v>36900</v>
      </c>
      <c r="B109" t="str">
        <v>Teve Interesse</v>
      </c>
      <c r="C109">
        <v>1596</v>
      </c>
      <c r="D109" t="str">
        <v>Ariane Quebao</v>
      </c>
      <c r="E109" t="str">
        <v>Televendas</v>
      </c>
      <c r="F109" t="str">
        <v>Grande POA</v>
      </c>
      <c r="G109" t="str">
        <v>Franciele</v>
      </c>
      <c r="H109" t="str">
        <v>VOUCHER | 45-365 DIAS | TELEVENDAS</v>
      </c>
      <c r="I109">
        <v>46204</v>
      </c>
      <c r="J109" t="str">
        <v>Não</v>
      </c>
      <c r="K109" t="str">
        <v/>
      </c>
      <c r="L109" t="str">
        <v/>
      </c>
      <c r="M109" t="str">
        <v/>
      </c>
      <c r="N109" t="str">
        <v/>
      </c>
      <c r="O109" t="str">
        <v/>
      </c>
      <c r="P109" t="str">
        <v/>
      </c>
      <c r="Q109" t="str">
        <v/>
      </c>
      <c r="R109" t="str">
        <v/>
      </c>
    </row>
    <row r="110">
      <c r="A110">
        <v>38087</v>
      </c>
      <c r="B110" t="str">
        <v>Teve Interesse</v>
      </c>
      <c r="C110">
        <v>1464</v>
      </c>
      <c r="D110" t="str">
        <v>Camila Arruda</v>
      </c>
      <c r="E110" t="str">
        <v>Televendas</v>
      </c>
      <c r="F110" t="str">
        <v>Sul</v>
      </c>
      <c r="G110" t="str">
        <v>Franciele</v>
      </c>
      <c r="H110" t="str">
        <v>VOUCHER | 45-365 DIAS | TELEVENDAS</v>
      </c>
      <c r="I110">
        <v>46204</v>
      </c>
      <c r="J110" t="str">
        <v>Não</v>
      </c>
      <c r="K110" t="str">
        <v/>
      </c>
      <c r="L110" t="str">
        <v/>
      </c>
      <c r="M110" t="str">
        <v/>
      </c>
      <c r="N110" t="str">
        <v/>
      </c>
      <c r="O110" t="str">
        <v/>
      </c>
      <c r="P110" t="str">
        <v/>
      </c>
      <c r="Q110" t="str">
        <v/>
      </c>
      <c r="R110" t="str">
        <v/>
      </c>
    </row>
    <row r="111">
      <c r="A111">
        <v>38579</v>
      </c>
      <c r="B111" t="str">
        <v>Teve Interesse</v>
      </c>
      <c r="C111">
        <v>1429</v>
      </c>
      <c r="D111" t="str">
        <v>Natália Bombardelli</v>
      </c>
      <c r="E111" t="str">
        <v>Televendas</v>
      </c>
      <c r="F111" t="str">
        <v>Geral</v>
      </c>
      <c r="G111" t="str">
        <v>Franciele</v>
      </c>
      <c r="H111" t="str">
        <v>VOUCHER | 45-365 DIAS | TELEVENDAS</v>
      </c>
      <c r="I111">
        <v>46204</v>
      </c>
      <c r="J111" t="str">
        <v>Não</v>
      </c>
      <c r="K111" t="str">
        <v/>
      </c>
      <c r="L111" t="str">
        <v/>
      </c>
      <c r="M111" t="str">
        <v/>
      </c>
      <c r="N111" t="str">
        <v/>
      </c>
      <c r="O111" t="str">
        <v/>
      </c>
      <c r="P111" t="str">
        <v/>
      </c>
      <c r="Q111" t="str">
        <v/>
      </c>
      <c r="R111" t="str">
        <v/>
      </c>
    </row>
    <row r="112">
      <c r="A112">
        <v>39612</v>
      </c>
      <c r="B112" t="str">
        <v>Teve Interesse</v>
      </c>
      <c r="C112">
        <v>1464</v>
      </c>
      <c r="D112" t="str">
        <v>Camila Arruda</v>
      </c>
      <c r="E112" t="str">
        <v>Televendas</v>
      </c>
      <c r="F112" t="str">
        <v>Sul</v>
      </c>
      <c r="G112" t="str">
        <v>Franciele</v>
      </c>
      <c r="H112" t="str">
        <v>VOUCHER | 45-365 DIAS | TELEVENDAS</v>
      </c>
      <c r="I112">
        <v>46204</v>
      </c>
      <c r="J112" t="str">
        <v>Não</v>
      </c>
      <c r="K112" t="str">
        <v/>
      </c>
      <c r="L112" t="str">
        <v/>
      </c>
      <c r="M112" t="str">
        <v/>
      </c>
      <c r="N112" t="str">
        <v/>
      </c>
      <c r="O112" t="str">
        <v/>
      </c>
      <c r="P112" t="str">
        <v/>
      </c>
      <c r="Q112" t="str">
        <v/>
      </c>
      <c r="R112" t="str">
        <v/>
      </c>
    </row>
    <row r="113">
      <c r="A113">
        <v>40389</v>
      </c>
      <c r="B113" t="str">
        <v>Teve Interesse</v>
      </c>
      <c r="C113">
        <v>1464</v>
      </c>
      <c r="D113" t="str">
        <v>Camila Arruda</v>
      </c>
      <c r="E113" t="str">
        <v>Televendas</v>
      </c>
      <c r="F113" t="str">
        <v>Sul</v>
      </c>
      <c r="G113" t="str">
        <v>Franciele</v>
      </c>
      <c r="H113" t="str">
        <v>VOUCHER | 45-365 DIAS | TELEVENDAS</v>
      </c>
      <c r="I113">
        <v>46204</v>
      </c>
      <c r="J113" t="str">
        <v>Não</v>
      </c>
      <c r="K113" t="str">
        <v/>
      </c>
      <c r="L113" t="str">
        <v/>
      </c>
      <c r="M113" t="str">
        <v/>
      </c>
      <c r="N113" t="str">
        <v/>
      </c>
      <c r="O113" t="str">
        <v/>
      </c>
      <c r="P113" t="str">
        <v/>
      </c>
      <c r="Q113" t="str">
        <v/>
      </c>
      <c r="R113" t="str">
        <v/>
      </c>
    </row>
    <row r="114">
      <c r="A114">
        <v>40474</v>
      </c>
      <c r="B114" t="str">
        <v>Teve Interesse</v>
      </c>
      <c r="C114">
        <v>1464</v>
      </c>
      <c r="D114" t="str">
        <v>Camila Arruda</v>
      </c>
      <c r="E114" t="str">
        <v>Televendas</v>
      </c>
      <c r="F114" t="str">
        <v>Sul</v>
      </c>
      <c r="G114" t="str">
        <v>Franciele</v>
      </c>
      <c r="H114" t="str">
        <v>VOUCHER | 45-365 DIAS | TELEVENDAS</v>
      </c>
      <c r="I114">
        <v>46204</v>
      </c>
      <c r="J114" t="str">
        <v>Não</v>
      </c>
      <c r="K114" t="str">
        <v/>
      </c>
      <c r="L114" t="str">
        <v/>
      </c>
      <c r="M114" t="str">
        <v/>
      </c>
      <c r="N114" t="str">
        <v/>
      </c>
      <c r="O114" t="str">
        <v/>
      </c>
      <c r="P114" t="str">
        <v/>
      </c>
      <c r="Q114" t="str">
        <v/>
      </c>
      <c r="R114" t="str">
        <v/>
      </c>
    </row>
    <row r="115">
      <c r="A115">
        <v>40575</v>
      </c>
      <c r="B115" t="str">
        <v>Teve Interesse</v>
      </c>
      <c r="C115">
        <v>1211</v>
      </c>
      <c r="D115" t="str">
        <v>Cristielen da Silva</v>
      </c>
      <c r="E115" t="str">
        <v>Televendas</v>
      </c>
      <c r="F115" t="str">
        <v>Vale dos Sinos</v>
      </c>
      <c r="G115" t="str">
        <v>Franciele</v>
      </c>
      <c r="H115" t="str">
        <v>VOUCHER | 45-365 DIAS | TELEVENDAS</v>
      </c>
      <c r="I115">
        <v>46204</v>
      </c>
      <c r="J115" t="str">
        <v>Não</v>
      </c>
      <c r="K115" t="str">
        <v/>
      </c>
      <c r="L115" t="str">
        <v/>
      </c>
      <c r="M115" t="str">
        <v/>
      </c>
      <c r="N115" t="str">
        <v/>
      </c>
      <c r="O115" t="str">
        <v/>
      </c>
      <c r="P115" t="str">
        <v/>
      </c>
      <c r="Q115" t="str">
        <v/>
      </c>
      <c r="R115" t="str">
        <v/>
      </c>
    </row>
    <row r="116">
      <c r="A116">
        <v>41527</v>
      </c>
      <c r="B116" t="str">
        <v>Teve Interesse</v>
      </c>
      <c r="C116">
        <v>1464</v>
      </c>
      <c r="D116" t="str">
        <v>Camila Arruda</v>
      </c>
      <c r="E116" t="str">
        <v>Televendas</v>
      </c>
      <c r="F116" t="str">
        <v>Sul</v>
      </c>
      <c r="G116" t="str">
        <v>Franciele</v>
      </c>
      <c r="H116" t="str">
        <v>VOUCHER | 45-365 DIAS | TELEVENDAS</v>
      </c>
      <c r="I116">
        <v>46204</v>
      </c>
      <c r="J116" t="str">
        <v>Não</v>
      </c>
      <c r="K116" t="str">
        <v/>
      </c>
      <c r="L116" t="str">
        <v/>
      </c>
      <c r="M116" t="str">
        <v/>
      </c>
      <c r="N116" t="str">
        <v/>
      </c>
      <c r="O116" t="str">
        <v/>
      </c>
      <c r="P116" t="str">
        <v/>
      </c>
      <c r="Q116" t="str">
        <v/>
      </c>
      <c r="R116" t="str">
        <v/>
      </c>
    </row>
    <row r="117">
      <c r="A117">
        <v>41577</v>
      </c>
      <c r="B117" t="str">
        <v>Teve Interesse</v>
      </c>
      <c r="C117">
        <v>1464</v>
      </c>
      <c r="D117" t="str">
        <v>Camila Arruda</v>
      </c>
      <c r="E117" t="str">
        <v>Televendas</v>
      </c>
      <c r="F117" t="str">
        <v>Sul</v>
      </c>
      <c r="G117" t="str">
        <v>Franciele</v>
      </c>
      <c r="H117" t="str">
        <v>VOUCHER | 45-365 DIAS | TELEVENDAS</v>
      </c>
      <c r="I117">
        <v>46204</v>
      </c>
      <c r="J117" t="str">
        <v>Não</v>
      </c>
      <c r="K117" t="str">
        <v/>
      </c>
      <c r="L117" t="str">
        <v/>
      </c>
      <c r="M117" t="str">
        <v/>
      </c>
      <c r="N117" t="str">
        <v/>
      </c>
      <c r="O117" t="str">
        <v/>
      </c>
      <c r="P117" t="str">
        <v/>
      </c>
      <c r="Q117" t="str">
        <v/>
      </c>
      <c r="R117" t="str">
        <v/>
      </c>
    </row>
    <row r="118">
      <c r="A118">
        <v>41615</v>
      </c>
      <c r="B118" t="str">
        <v>Teve Interesse</v>
      </c>
      <c r="C118">
        <v>1464</v>
      </c>
      <c r="D118" t="str">
        <v>Camila Arruda</v>
      </c>
      <c r="E118" t="str">
        <v>Televendas</v>
      </c>
      <c r="F118" t="str">
        <v>Sul</v>
      </c>
      <c r="G118" t="str">
        <v>Franciele</v>
      </c>
      <c r="H118" t="str">
        <v>VOUCHER | 45-365 DIAS | TELEVENDAS</v>
      </c>
      <c r="I118">
        <v>46204</v>
      </c>
      <c r="J118" t="str">
        <v>Não</v>
      </c>
      <c r="K118" t="str">
        <v/>
      </c>
      <c r="L118" t="str">
        <v/>
      </c>
      <c r="M118" t="str">
        <v/>
      </c>
      <c r="N118" t="str">
        <v/>
      </c>
      <c r="O118" t="str">
        <v/>
      </c>
      <c r="P118" t="str">
        <v/>
      </c>
      <c r="Q118" t="str">
        <v/>
      </c>
      <c r="R118" t="str">
        <v/>
      </c>
    </row>
    <row r="119">
      <c r="A119">
        <v>41632</v>
      </c>
      <c r="B119" t="str">
        <v>Teve Interesse</v>
      </c>
      <c r="C119">
        <v>1464</v>
      </c>
      <c r="D119" t="str">
        <v>Camila Arruda</v>
      </c>
      <c r="E119" t="str">
        <v>Televendas</v>
      </c>
      <c r="F119" t="str">
        <v>Sul</v>
      </c>
      <c r="G119" t="str">
        <v>Franciele</v>
      </c>
      <c r="H119" t="str">
        <v>VOUCHER | 45-365 DIAS | TELEVENDAS</v>
      </c>
      <c r="I119">
        <v>46204</v>
      </c>
      <c r="J119" t="str">
        <v>Não</v>
      </c>
      <c r="K119" t="str">
        <v/>
      </c>
      <c r="L119" t="str">
        <v/>
      </c>
      <c r="M119" t="str">
        <v/>
      </c>
      <c r="N119" t="str">
        <v/>
      </c>
      <c r="O119" t="str">
        <v/>
      </c>
      <c r="P119" t="str">
        <v/>
      </c>
      <c r="Q119" t="str">
        <v/>
      </c>
      <c r="R119" t="str">
        <v/>
      </c>
    </row>
    <row r="120">
      <c r="A120">
        <v>42136</v>
      </c>
      <c r="B120" t="str">
        <v>Teve Interesse</v>
      </c>
      <c r="C120">
        <v>1596</v>
      </c>
      <c r="D120" t="str">
        <v>Ariane Quebao</v>
      </c>
      <c r="E120" t="str">
        <v>Televendas</v>
      </c>
      <c r="F120" t="str">
        <v>Grande POA</v>
      </c>
      <c r="G120" t="str">
        <v>Franciele</v>
      </c>
      <c r="H120" t="str">
        <v>VOUCHER | 45-365 DIAS | TELEVENDAS</v>
      </c>
      <c r="I120">
        <v>46204</v>
      </c>
      <c r="J120" t="str">
        <v>Não</v>
      </c>
      <c r="K120" t="str">
        <v/>
      </c>
      <c r="L120" t="str">
        <v/>
      </c>
      <c r="M120" t="str">
        <v/>
      </c>
      <c r="N120" t="str">
        <v/>
      </c>
      <c r="O120" t="str">
        <v/>
      </c>
      <c r="P120" t="str">
        <v/>
      </c>
      <c r="Q120" t="str">
        <v/>
      </c>
      <c r="R120" t="str">
        <v/>
      </c>
    </row>
    <row r="121">
      <c r="A121">
        <v>42492</v>
      </c>
      <c r="B121" t="str">
        <v>Teve Interesse</v>
      </c>
      <c r="C121">
        <v>1464</v>
      </c>
      <c r="D121" t="str">
        <v>Camila Arruda</v>
      </c>
      <c r="E121" t="str">
        <v>Televendas</v>
      </c>
      <c r="F121" t="str">
        <v>Sul</v>
      </c>
      <c r="G121" t="str">
        <v>Franciele</v>
      </c>
      <c r="H121" t="str">
        <v>VOUCHER | 45-365 DIAS | TELEVENDAS</v>
      </c>
      <c r="I121">
        <v>46204</v>
      </c>
      <c r="J121" t="str">
        <v>Não</v>
      </c>
      <c r="K121" t="str">
        <v/>
      </c>
      <c r="L121" t="str">
        <v/>
      </c>
      <c r="M121" t="str">
        <v/>
      </c>
      <c r="N121" t="str">
        <v/>
      </c>
      <c r="O121" t="str">
        <v/>
      </c>
      <c r="P121" t="str">
        <v/>
      </c>
      <c r="Q121" t="str">
        <v/>
      </c>
      <c r="R121" t="str">
        <v/>
      </c>
    </row>
    <row r="122">
      <c r="A122">
        <v>42639</v>
      </c>
      <c r="B122" t="str">
        <v>Teve Interesse</v>
      </c>
      <c r="C122">
        <v>1464</v>
      </c>
      <c r="D122" t="str">
        <v>Camila Arruda</v>
      </c>
      <c r="E122" t="str">
        <v>Televendas</v>
      </c>
      <c r="F122" t="str">
        <v>Sul</v>
      </c>
      <c r="G122" t="str">
        <v>Franciele</v>
      </c>
      <c r="H122" t="str">
        <v>VOUCHER | 45-365 DIAS | TELEVENDAS</v>
      </c>
      <c r="I122">
        <v>46204</v>
      </c>
      <c r="J122" t="str">
        <v>Não</v>
      </c>
      <c r="K122" t="str">
        <v/>
      </c>
      <c r="L122" t="str">
        <v/>
      </c>
      <c r="M122" t="str">
        <v/>
      </c>
      <c r="N122" t="str">
        <v/>
      </c>
      <c r="O122" t="str">
        <v/>
      </c>
      <c r="P122" t="str">
        <v/>
      </c>
      <c r="Q122" t="str">
        <v/>
      </c>
      <c r="R122" t="str">
        <v/>
      </c>
    </row>
    <row r="123">
      <c r="A123">
        <v>42716</v>
      </c>
      <c r="B123" t="str">
        <v>Teve Interesse</v>
      </c>
      <c r="C123">
        <v>1429</v>
      </c>
      <c r="D123" t="str">
        <v>Natália Bombardelli</v>
      </c>
      <c r="E123" t="str">
        <v>Televendas</v>
      </c>
      <c r="F123" t="str">
        <v>Geral</v>
      </c>
      <c r="G123" t="str">
        <v>Franciele</v>
      </c>
      <c r="H123" t="str">
        <v>VOUCHER | 45-365 DIAS | TELEVENDAS</v>
      </c>
      <c r="I123">
        <v>46204</v>
      </c>
      <c r="J123" t="str">
        <v>Não</v>
      </c>
      <c r="K123" t="str">
        <v/>
      </c>
      <c r="L123" t="str">
        <v/>
      </c>
      <c r="M123" t="str">
        <v/>
      </c>
      <c r="N123" t="str">
        <v/>
      </c>
      <c r="O123" t="str">
        <v/>
      </c>
      <c r="P123" t="str">
        <v/>
      </c>
      <c r="Q123" t="str">
        <v/>
      </c>
      <c r="R123" t="str">
        <v/>
      </c>
    </row>
    <row r="124">
      <c r="A124">
        <v>43063</v>
      </c>
      <c r="B124" t="str">
        <v>Teve Interesse</v>
      </c>
      <c r="C124">
        <v>1211</v>
      </c>
      <c r="D124" t="str">
        <v>Cristielen da Silva</v>
      </c>
      <c r="E124" t="str">
        <v>Televendas</v>
      </c>
      <c r="F124" t="str">
        <v>Vale dos Sinos</v>
      </c>
      <c r="G124" t="str">
        <v>Franciele</v>
      </c>
      <c r="H124" t="str">
        <v>VOUCHER | 45-365 DIAS | TELEVENDAS</v>
      </c>
      <c r="I124">
        <v>46204</v>
      </c>
      <c r="J124" t="str">
        <v>Não</v>
      </c>
      <c r="K124" t="str">
        <v/>
      </c>
      <c r="L124" t="str">
        <v/>
      </c>
      <c r="M124" t="str">
        <v/>
      </c>
      <c r="N124" t="str">
        <v/>
      </c>
      <c r="O124" t="str">
        <v/>
      </c>
      <c r="P124" t="str">
        <v/>
      </c>
      <c r="Q124" t="str">
        <v/>
      </c>
      <c r="R124" t="str">
        <v/>
      </c>
    </row>
    <row r="125">
      <c r="A125">
        <v>43173</v>
      </c>
      <c r="B125" t="str">
        <v>Teve Interesse</v>
      </c>
      <c r="C125">
        <v>1596</v>
      </c>
      <c r="D125" t="str">
        <v>Ariane Quebao</v>
      </c>
      <c r="E125" t="str">
        <v>Televendas</v>
      </c>
      <c r="F125" t="str">
        <v>Grande POA</v>
      </c>
      <c r="G125" t="str">
        <v>Franciele</v>
      </c>
      <c r="H125" t="str">
        <v>VOUCHER | 45-365 DIAS | TELEVENDAS</v>
      </c>
      <c r="I125">
        <v>46204</v>
      </c>
      <c r="J125" t="str">
        <v>Não</v>
      </c>
      <c r="K125" t="str">
        <v/>
      </c>
      <c r="L125" t="str">
        <v/>
      </c>
      <c r="M125" t="str">
        <v/>
      </c>
      <c r="N125" t="str">
        <v/>
      </c>
      <c r="O125" t="str">
        <v/>
      </c>
      <c r="P125" t="str">
        <v/>
      </c>
      <c r="Q125" t="str">
        <v/>
      </c>
      <c r="R125" t="str">
        <v/>
      </c>
    </row>
    <row r="126">
      <c r="A126">
        <v>43434</v>
      </c>
      <c r="B126" t="str">
        <v>Teve Interesse</v>
      </c>
      <c r="C126">
        <v>1464</v>
      </c>
      <c r="D126" t="str">
        <v>Camila Arruda</v>
      </c>
      <c r="E126" t="str">
        <v>Televendas</v>
      </c>
      <c r="F126" t="str">
        <v>Sul</v>
      </c>
      <c r="G126" t="str">
        <v>Franciele</v>
      </c>
      <c r="H126" t="str">
        <v>VOUCHER | 45-365 DIAS | TELEVENDAS</v>
      </c>
      <c r="I126">
        <v>46204</v>
      </c>
      <c r="J126" t="str">
        <v>Não</v>
      </c>
      <c r="K126" t="str">
        <v/>
      </c>
      <c r="L126" t="str">
        <v/>
      </c>
      <c r="M126" t="str">
        <v/>
      </c>
      <c r="N126" t="str">
        <v/>
      </c>
      <c r="O126" t="str">
        <v/>
      </c>
      <c r="P126" t="str">
        <v/>
      </c>
      <c r="Q126" t="str">
        <v/>
      </c>
      <c r="R126" t="str">
        <v/>
      </c>
    </row>
    <row r="127">
      <c r="A127">
        <v>44802</v>
      </c>
      <c r="B127" t="str">
        <v>Teve Interesse</v>
      </c>
      <c r="C127">
        <v>1464</v>
      </c>
      <c r="D127" t="str">
        <v>Camila Arruda</v>
      </c>
      <c r="E127" t="str">
        <v>Televendas</v>
      </c>
      <c r="F127" t="str">
        <v>Sul</v>
      </c>
      <c r="G127" t="str">
        <v>Franciele</v>
      </c>
      <c r="H127" t="str">
        <v>VOUCHER | 45-365 DIAS | TELEVENDAS</v>
      </c>
      <c r="I127">
        <v>46204</v>
      </c>
      <c r="J127" t="str">
        <v>Não</v>
      </c>
      <c r="K127" t="str">
        <v/>
      </c>
      <c r="L127" t="str">
        <v/>
      </c>
      <c r="M127" t="str">
        <v/>
      </c>
      <c r="N127" t="str">
        <v/>
      </c>
      <c r="O127" t="str">
        <v/>
      </c>
      <c r="P127" t="str">
        <v/>
      </c>
      <c r="Q127" t="str">
        <v/>
      </c>
      <c r="R127" t="str">
        <v/>
      </c>
    </row>
    <row r="128">
      <c r="A128">
        <v>17453</v>
      </c>
      <c r="B128" t="str">
        <v>Teve Interesse</v>
      </c>
      <c r="C128">
        <v>1235</v>
      </c>
      <c r="D128" t="str">
        <v>Evandro da Costa</v>
      </c>
      <c r="E128" t="str">
        <v>Externo</v>
      </c>
      <c r="F128" t="str">
        <v>Serra</v>
      </c>
      <c r="G128" t="str">
        <v>Jackson</v>
      </c>
      <c r="H128" t="str">
        <v>VOLTE A COMPRAR | 20-44 DIAS | REPRESENTANTES</v>
      </c>
      <c r="I128">
        <v>46205</v>
      </c>
      <c r="J128" t="str">
        <v>Não</v>
      </c>
      <c r="K128" t="str">
        <v/>
      </c>
      <c r="L128" t="str">
        <v/>
      </c>
      <c r="M128" t="str">
        <v/>
      </c>
      <c r="N128" t="str">
        <v/>
      </c>
      <c r="O128" t="str">
        <v/>
      </c>
      <c r="P128" t="str">
        <v/>
      </c>
      <c r="Q128" t="str">
        <v/>
      </c>
      <c r="R128" t="str">
        <v/>
      </c>
    </row>
    <row r="129">
      <c r="A129">
        <v>19848</v>
      </c>
      <c r="B129" t="str">
        <v>Teve Interesse</v>
      </c>
      <c r="C129">
        <v>1280</v>
      </c>
      <c r="D129" t="str">
        <v>Henrik Von Muhlen</v>
      </c>
      <c r="E129" t="str">
        <v>Externo</v>
      </c>
      <c r="F129" t="str">
        <v>Serra</v>
      </c>
      <c r="G129" t="str">
        <v>Jackson</v>
      </c>
      <c r="H129" t="str">
        <v>VOLTE A COMPRAR | 20-44 DIAS | REPRESENTANTES</v>
      </c>
      <c r="I129">
        <v>46205</v>
      </c>
      <c r="J129" t="str">
        <v>Não</v>
      </c>
      <c r="K129" t="str">
        <v/>
      </c>
      <c r="L129" t="str">
        <v/>
      </c>
      <c r="M129" t="str">
        <v/>
      </c>
      <c r="N129" t="str">
        <v/>
      </c>
      <c r="O129" t="str">
        <v/>
      </c>
      <c r="P129" t="str">
        <v/>
      </c>
      <c r="Q129" t="str">
        <v/>
      </c>
      <c r="R129" t="str">
        <v/>
      </c>
    </row>
    <row r="130">
      <c r="A130">
        <v>22457</v>
      </c>
      <c r="B130" t="str">
        <v>Teve Interesse</v>
      </c>
      <c r="C130">
        <v>9905</v>
      </c>
      <c r="D130" t="str">
        <v>Vinicius da Luz</v>
      </c>
      <c r="E130" t="str">
        <v>Externo</v>
      </c>
      <c r="F130" t="str">
        <v>Litoral</v>
      </c>
      <c r="G130" t="str">
        <v>Muriel</v>
      </c>
      <c r="H130" t="str">
        <v>VOLTE A COMPRAR | 20-44 DIAS | REPRESENTANTES</v>
      </c>
      <c r="I130">
        <v>46205</v>
      </c>
      <c r="J130" t="str">
        <v>Não</v>
      </c>
      <c r="K130" t="str">
        <v/>
      </c>
      <c r="L130" t="str">
        <v/>
      </c>
      <c r="M130" t="str">
        <v/>
      </c>
      <c r="N130" t="str">
        <v/>
      </c>
      <c r="O130" t="str">
        <v/>
      </c>
      <c r="P130" t="str">
        <v/>
      </c>
      <c r="Q130" t="str">
        <v/>
      </c>
      <c r="R130" t="str">
        <v/>
      </c>
    </row>
    <row r="131">
      <c r="A131">
        <v>24833</v>
      </c>
      <c r="B131" t="str">
        <v>Teve Interesse</v>
      </c>
      <c r="C131">
        <v>1150</v>
      </c>
      <c r="D131" t="str">
        <v>Nei Xavier</v>
      </c>
      <c r="E131" t="str">
        <v>Externo</v>
      </c>
      <c r="F131" t="str">
        <v>Grande POA</v>
      </c>
      <c r="G131" t="str">
        <v>Juliano</v>
      </c>
      <c r="H131" t="str">
        <v>VOLTE A COMPRAR | 20-44 DIAS | REPRESENTANTES</v>
      </c>
      <c r="I131">
        <v>46205</v>
      </c>
      <c r="J131" t="str">
        <v>Não</v>
      </c>
      <c r="K131" t="str">
        <v/>
      </c>
      <c r="L131" t="str">
        <v/>
      </c>
      <c r="M131" t="str">
        <v/>
      </c>
      <c r="N131" t="str">
        <v/>
      </c>
      <c r="O131" t="str">
        <v/>
      </c>
      <c r="P131" t="str">
        <v/>
      </c>
      <c r="Q131" t="str">
        <v/>
      </c>
      <c r="R131" t="str">
        <v/>
      </c>
    </row>
    <row r="132">
      <c r="A132">
        <v>31399</v>
      </c>
      <c r="B132" t="str">
        <v>Teve Interesse</v>
      </c>
      <c r="C132">
        <v>1296</v>
      </c>
      <c r="D132" t="str">
        <v>Edson Luiz</v>
      </c>
      <c r="E132" t="str">
        <v>Externo</v>
      </c>
      <c r="F132" t="str">
        <v>Sul</v>
      </c>
      <c r="G132" t="str">
        <v>Moizes</v>
      </c>
      <c r="H132" t="str">
        <v>VOLTE A COMPRAR | 20-44 DIAS | REPRESENTANTES</v>
      </c>
      <c r="I132">
        <v>46205</v>
      </c>
      <c r="J132" t="str">
        <v>Não</v>
      </c>
      <c r="K132" t="str">
        <v/>
      </c>
      <c r="L132" t="str">
        <v/>
      </c>
      <c r="M132" t="str">
        <v/>
      </c>
      <c r="N132" t="str">
        <v/>
      </c>
      <c r="O132" t="str">
        <v/>
      </c>
      <c r="P132" t="str">
        <v/>
      </c>
      <c r="Q132" t="str">
        <v/>
      </c>
      <c r="R132" t="str">
        <v/>
      </c>
    </row>
    <row r="133">
      <c r="A133">
        <v>33607</v>
      </c>
      <c r="B133" t="str">
        <v>Teve Interesse</v>
      </c>
      <c r="C133">
        <v>9808</v>
      </c>
      <c r="D133" t="str">
        <v>Marcelo de Souza</v>
      </c>
      <c r="E133" t="str">
        <v>Externo</v>
      </c>
      <c r="F133" t="str">
        <v>Sul</v>
      </c>
      <c r="G133" t="str">
        <v>Moizes</v>
      </c>
      <c r="H133" t="str">
        <v>VOLTE A COMPRAR | 20-44 DIAS | REPRESENTANTES</v>
      </c>
      <c r="I133">
        <v>46205</v>
      </c>
      <c r="J133" t="str">
        <v>Não</v>
      </c>
      <c r="K133" t="str">
        <v/>
      </c>
      <c r="L133" t="str">
        <v/>
      </c>
      <c r="M133" t="str">
        <v/>
      </c>
      <c r="N133" t="str">
        <v/>
      </c>
      <c r="O133" t="str">
        <v/>
      </c>
      <c r="P133" t="str">
        <v/>
      </c>
      <c r="Q133" t="str">
        <v/>
      </c>
      <c r="R133" t="str">
        <v/>
      </c>
    </row>
    <row r="134">
      <c r="A134">
        <v>35533</v>
      </c>
      <c r="B134" t="str">
        <v>Teve Interesse</v>
      </c>
      <c r="C134">
        <v>6127</v>
      </c>
      <c r="D134" t="str">
        <v>Paulo Renato</v>
      </c>
      <c r="E134" t="str">
        <v>Externo</v>
      </c>
      <c r="F134" t="str">
        <v>Litoral</v>
      </c>
      <c r="G134" t="str">
        <v>Muriel</v>
      </c>
      <c r="H134" t="str">
        <v>VOLTE A COMPRAR | 20-44 DIAS | REPRESENTANTES</v>
      </c>
      <c r="I134">
        <v>46205</v>
      </c>
      <c r="J134" t="str">
        <v>Não</v>
      </c>
      <c r="K134" t="str">
        <v/>
      </c>
      <c r="L134" t="str">
        <v/>
      </c>
      <c r="M134" t="str">
        <v/>
      </c>
      <c r="N134" t="str">
        <v/>
      </c>
      <c r="O134" t="str">
        <v/>
      </c>
      <c r="P134" t="str">
        <v/>
      </c>
      <c r="Q134" t="str">
        <v/>
      </c>
      <c r="R134" t="str">
        <v/>
      </c>
    </row>
    <row r="135">
      <c r="A135">
        <v>35978</v>
      </c>
      <c r="B135" t="str">
        <v>Teve Interesse</v>
      </c>
      <c r="C135" t="str">
        <v/>
      </c>
      <c r="D135" t="str">
        <v>Rose - Nelvaira</v>
      </c>
      <c r="E135" t="str">
        <v>Externo</v>
      </c>
      <c r="F135" t="str">
        <v>Sul</v>
      </c>
      <c r="G135" t="str">
        <v>Moizes</v>
      </c>
      <c r="H135" t="str">
        <v>VOLTE A COMPRAR | 20-44 DIAS | REPRESENTANTES</v>
      </c>
      <c r="I135">
        <v>46205</v>
      </c>
      <c r="J135" t="str">
        <v>Não</v>
      </c>
      <c r="K135" t="str">
        <v/>
      </c>
      <c r="L135" t="str">
        <v/>
      </c>
      <c r="M135" t="str">
        <v/>
      </c>
      <c r="N135" t="str">
        <v/>
      </c>
      <c r="O135" t="str">
        <v/>
      </c>
      <c r="P135" t="str">
        <v/>
      </c>
      <c r="Q135" t="str">
        <v/>
      </c>
      <c r="R135" t="str">
        <v/>
      </c>
    </row>
    <row r="136">
      <c r="A136">
        <v>39096</v>
      </c>
      <c r="B136" t="str">
        <v>Teve Interesse</v>
      </c>
      <c r="C136">
        <v>1325</v>
      </c>
      <c r="D136" t="str">
        <v>Sidimar Luis</v>
      </c>
      <c r="E136" t="str">
        <v>Externo</v>
      </c>
      <c r="F136" t="str">
        <v>Serra</v>
      </c>
      <c r="G136" t="str">
        <v>Jackson</v>
      </c>
      <c r="H136" t="str">
        <v>VOLTE A COMPRAR | 20-44 DIAS | REPRESENTANTES</v>
      </c>
      <c r="I136">
        <v>46205</v>
      </c>
      <c r="J136" t="str">
        <v>Não</v>
      </c>
      <c r="K136" t="str">
        <v/>
      </c>
      <c r="L136" t="str">
        <v/>
      </c>
      <c r="M136" t="str">
        <v/>
      </c>
      <c r="N136" t="str">
        <v/>
      </c>
      <c r="O136" t="str">
        <v/>
      </c>
      <c r="P136" t="str">
        <v/>
      </c>
      <c r="Q136" t="str">
        <v/>
      </c>
      <c r="R136" t="str">
        <v/>
      </c>
    </row>
    <row r="137">
      <c r="A137">
        <v>39470</v>
      </c>
      <c r="B137" t="str">
        <v>Teve Interesse</v>
      </c>
      <c r="C137">
        <v>9808</v>
      </c>
      <c r="D137" t="str">
        <v>Marcelo de Souza</v>
      </c>
      <c r="E137" t="str">
        <v>Externo</v>
      </c>
      <c r="F137" t="str">
        <v>Sul</v>
      </c>
      <c r="G137" t="str">
        <v>Moizes</v>
      </c>
      <c r="H137" t="str">
        <v>VOLTE A COMPRAR | 20-44 DIAS | REPRESENTANTES</v>
      </c>
      <c r="I137">
        <v>46205</v>
      </c>
      <c r="J137" t="str">
        <v>Não</v>
      </c>
      <c r="K137" t="str">
        <v/>
      </c>
      <c r="L137" t="str">
        <v/>
      </c>
      <c r="M137" t="str">
        <v/>
      </c>
      <c r="N137" t="str">
        <v/>
      </c>
      <c r="O137" t="str">
        <v/>
      </c>
      <c r="P137" t="str">
        <v/>
      </c>
      <c r="Q137" t="str">
        <v/>
      </c>
      <c r="R137" t="str">
        <v/>
      </c>
    </row>
    <row r="138">
      <c r="A138">
        <v>39470</v>
      </c>
      <c r="B138" t="str">
        <v>Teve Interesse</v>
      </c>
      <c r="C138">
        <v>9808</v>
      </c>
      <c r="D138" t="str">
        <v>Marcelo de Souza</v>
      </c>
      <c r="E138" t="str">
        <v>Externo</v>
      </c>
      <c r="F138" t="str">
        <v>Sul</v>
      </c>
      <c r="G138" t="str">
        <v>Moizes</v>
      </c>
      <c r="H138" t="str">
        <v>VOLTE A COMPRAR | 20-44 DIAS | REPRESENTANTES</v>
      </c>
      <c r="I138">
        <v>46205</v>
      </c>
      <c r="J138" t="str">
        <v>Não</v>
      </c>
      <c r="K138" t="str">
        <v/>
      </c>
      <c r="L138" t="str">
        <v/>
      </c>
      <c r="M138" t="str">
        <v/>
      </c>
      <c r="N138" t="str">
        <v/>
      </c>
      <c r="O138" t="str">
        <v/>
      </c>
      <c r="P138" t="str">
        <v/>
      </c>
      <c r="Q138" t="str">
        <v/>
      </c>
      <c r="R138" t="str">
        <v/>
      </c>
    </row>
    <row r="139">
      <c r="A139">
        <v>39476</v>
      </c>
      <c r="B139" t="str">
        <v>Teve Interesse</v>
      </c>
      <c r="C139">
        <v>1522</v>
      </c>
      <c r="D139" t="str">
        <v>Guilherme Juhliano</v>
      </c>
      <c r="E139" t="str">
        <v>Externo</v>
      </c>
      <c r="F139" t="str">
        <v>Grande POA</v>
      </c>
      <c r="G139" t="str">
        <v>Juliano</v>
      </c>
      <c r="H139" t="str">
        <v>VOLTE A COMPRAR | 20-44 DIAS | REPRESENTANTES</v>
      </c>
      <c r="I139">
        <v>46205</v>
      </c>
      <c r="J139" t="str">
        <v>Não</v>
      </c>
      <c r="K139" t="str">
        <v/>
      </c>
      <c r="L139" t="str">
        <v/>
      </c>
      <c r="M139" t="str">
        <v/>
      </c>
      <c r="N139" t="str">
        <v/>
      </c>
      <c r="O139" t="str">
        <v/>
      </c>
      <c r="P139" t="str">
        <v/>
      </c>
      <c r="Q139" t="str">
        <v/>
      </c>
      <c r="R139" t="str">
        <v/>
      </c>
    </row>
    <row r="140">
      <c r="A140">
        <v>40050</v>
      </c>
      <c r="B140" t="str">
        <v>Teve Interesse</v>
      </c>
      <c r="C140">
        <v>1607</v>
      </c>
      <c r="D140" t="str">
        <v>Luiz Olavo</v>
      </c>
      <c r="E140" t="str">
        <v>Externo</v>
      </c>
      <c r="F140" t="str">
        <v>Litoral</v>
      </c>
      <c r="G140" t="str">
        <v>Muriel</v>
      </c>
      <c r="H140" t="str">
        <v>VOLTE A COMPRAR | 20-44 DIAS | REPRESENTANTES</v>
      </c>
      <c r="I140">
        <v>46205</v>
      </c>
      <c r="J140" t="str">
        <v>Não</v>
      </c>
      <c r="K140" t="str">
        <v/>
      </c>
      <c r="L140" t="str">
        <v/>
      </c>
      <c r="M140" t="str">
        <v/>
      </c>
      <c r="N140" t="str">
        <v/>
      </c>
      <c r="O140" t="str">
        <v/>
      </c>
      <c r="P140" t="str">
        <v/>
      </c>
      <c r="Q140" t="str">
        <v/>
      </c>
      <c r="R140" t="str">
        <v/>
      </c>
    </row>
    <row r="141">
      <c r="A141">
        <v>40197</v>
      </c>
      <c r="B141" t="str">
        <v>Teve Interesse</v>
      </c>
      <c r="C141">
        <v>1503</v>
      </c>
      <c r="D141" t="str">
        <v>Anaina Schmidt</v>
      </c>
      <c r="E141" t="str">
        <v>Externo</v>
      </c>
      <c r="F141" t="str">
        <v>Sul</v>
      </c>
      <c r="G141" t="str">
        <v>Moizes</v>
      </c>
      <c r="H141" t="str">
        <v>VOLTE A COMPRAR | 20-44 DIAS | REPRESENTANTES</v>
      </c>
      <c r="I141">
        <v>46205</v>
      </c>
      <c r="J141" t="str">
        <v>Não</v>
      </c>
      <c r="K141" t="str">
        <v/>
      </c>
      <c r="L141" t="str">
        <v/>
      </c>
      <c r="M141" t="str">
        <v/>
      </c>
      <c r="N141" t="str">
        <v/>
      </c>
      <c r="O141" t="str">
        <v/>
      </c>
      <c r="P141" t="str">
        <v/>
      </c>
      <c r="Q141" t="str">
        <v/>
      </c>
      <c r="R141" t="str">
        <v/>
      </c>
    </row>
    <row r="142">
      <c r="A142">
        <v>41349</v>
      </c>
      <c r="B142" t="str">
        <v>Teve Interesse</v>
      </c>
      <c r="C142">
        <v>1273</v>
      </c>
      <c r="D142" t="str">
        <v>Bruno Santos</v>
      </c>
      <c r="E142" t="str">
        <v>Externo</v>
      </c>
      <c r="F142" t="str">
        <v>Litoral</v>
      </c>
      <c r="G142" t="str">
        <v>Muriel</v>
      </c>
      <c r="H142" t="str">
        <v>VOLTE A COMPRAR | 20-44 DIAS | REPRESENTANTES</v>
      </c>
      <c r="I142">
        <v>46205</v>
      </c>
      <c r="J142" t="str">
        <v>Não</v>
      </c>
      <c r="K142" t="str">
        <v/>
      </c>
      <c r="L142" t="str">
        <v/>
      </c>
      <c r="M142" t="str">
        <v/>
      </c>
      <c r="N142" t="str">
        <v/>
      </c>
      <c r="O142" t="str">
        <v/>
      </c>
      <c r="P142" t="str">
        <v/>
      </c>
      <c r="Q142" t="str">
        <v/>
      </c>
      <c r="R142" t="str">
        <v/>
      </c>
    </row>
    <row r="143">
      <c r="A143">
        <v>42173</v>
      </c>
      <c r="B143" t="str">
        <v>Teve Interesse</v>
      </c>
      <c r="C143" t="str">
        <v/>
      </c>
      <c r="D143" t="str">
        <v>Rose - Nelvaira</v>
      </c>
      <c r="E143" t="str">
        <v>Externo</v>
      </c>
      <c r="F143" t="str">
        <v>Sul</v>
      </c>
      <c r="G143" t="str">
        <v>Moizes</v>
      </c>
      <c r="H143" t="str">
        <v>VOLTE A COMPRAR | 20-44 DIAS | REPRESENTANTES</v>
      </c>
      <c r="I143">
        <v>46205</v>
      </c>
      <c r="J143" t="str">
        <v>Não</v>
      </c>
      <c r="K143" t="str">
        <v/>
      </c>
      <c r="L143" t="str">
        <v/>
      </c>
      <c r="M143" t="str">
        <v/>
      </c>
      <c r="N143" t="str">
        <v/>
      </c>
      <c r="O143" t="str">
        <v/>
      </c>
      <c r="P143" t="str">
        <v/>
      </c>
      <c r="Q143" t="str">
        <v/>
      </c>
      <c r="R143" t="str">
        <v/>
      </c>
    </row>
    <row r="144">
      <c r="A144">
        <v>42373</v>
      </c>
      <c r="B144" t="str">
        <v>Sem Interesse</v>
      </c>
      <c r="C144">
        <v>0</v>
      </c>
      <c r="D144" t="str">
        <v>Perdido</v>
      </c>
      <c r="E144" t="str">
        <v>Perdido</v>
      </c>
      <c r="F144" t="str">
        <v>Perdido</v>
      </c>
      <c r="G144" t="str">
        <v>Perdido</v>
      </c>
      <c r="H144" t="str">
        <v>VOLTE A COMPRAR | 20-44 DIAS | REPRESENTANTES</v>
      </c>
      <c r="I144">
        <v>46205</v>
      </c>
      <c r="J144" t="str">
        <v>Não</v>
      </c>
      <c r="K144" t="str">
        <v/>
      </c>
      <c r="L144" t="str">
        <v/>
      </c>
      <c r="M144" t="str">
        <v/>
      </c>
      <c r="N144" t="str">
        <v/>
      </c>
      <c r="O144" t="str">
        <v/>
      </c>
      <c r="P144" t="str">
        <v/>
      </c>
      <c r="Q144" t="str">
        <v/>
      </c>
      <c r="R144" t="str">
        <v/>
      </c>
    </row>
    <row r="145">
      <c r="A145">
        <v>43435</v>
      </c>
      <c r="B145" t="str">
        <v>Teve Interesse</v>
      </c>
      <c r="C145">
        <v>1150</v>
      </c>
      <c r="D145" t="str">
        <v>Nei Xavier</v>
      </c>
      <c r="E145" t="str">
        <v>Externo</v>
      </c>
      <c r="F145" t="str">
        <v>Grande POA</v>
      </c>
      <c r="G145" t="str">
        <v>Juliano</v>
      </c>
      <c r="H145" t="str">
        <v>VOLTE A COMPRAR | 20-44 DIAS | REPRESENTANTES</v>
      </c>
      <c r="I145">
        <v>46205</v>
      </c>
      <c r="J145" t="str">
        <v>Não</v>
      </c>
      <c r="K145" t="str">
        <v/>
      </c>
      <c r="L145" t="str">
        <v/>
      </c>
      <c r="M145" t="str">
        <v/>
      </c>
      <c r="N145" t="str">
        <v/>
      </c>
      <c r="O145" t="str">
        <v/>
      </c>
      <c r="P145" t="str">
        <v/>
      </c>
      <c r="Q145" t="str">
        <v/>
      </c>
      <c r="R145" t="str">
        <v/>
      </c>
    </row>
    <row r="146">
      <c r="A146">
        <v>44220</v>
      </c>
      <c r="B146" t="str">
        <v>Teve Interesse</v>
      </c>
      <c r="C146">
        <v>1596</v>
      </c>
      <c r="D146" t="str">
        <v>Ariane Quebao</v>
      </c>
      <c r="E146" t="str">
        <v>Televendas</v>
      </c>
      <c r="F146" t="str">
        <v>Grande POA</v>
      </c>
      <c r="G146" t="str">
        <v>Franciele</v>
      </c>
      <c r="H146" t="str">
        <v>VOLTE A COMPRAR | 20-44 DIAS | REPRESENTANTES</v>
      </c>
      <c r="I146">
        <v>46205</v>
      </c>
      <c r="J146" t="str">
        <v>Não</v>
      </c>
      <c r="K146" t="str">
        <v/>
      </c>
      <c r="L146" t="str">
        <v/>
      </c>
      <c r="M146" t="str">
        <v/>
      </c>
      <c r="N146" t="str">
        <v/>
      </c>
      <c r="O146" t="str">
        <v/>
      </c>
      <c r="P146" t="str">
        <v/>
      </c>
      <c r="Q146" t="str">
        <v/>
      </c>
      <c r="R146" t="str">
        <v/>
      </c>
    </row>
    <row r="147">
      <c r="A147">
        <v>44225</v>
      </c>
      <c r="B147" t="str">
        <v>Teve Interesse</v>
      </c>
      <c r="C147" t="str">
        <v/>
      </c>
      <c r="D147" t="str">
        <v>Timoteo Hellwig</v>
      </c>
      <c r="E147" t="str">
        <v>Externo</v>
      </c>
      <c r="F147" t="str">
        <v>Sul</v>
      </c>
      <c r="G147" t="str">
        <v>Moizes</v>
      </c>
      <c r="H147" t="str">
        <v>VOLTE A COMPRAR | 20-44 DIAS | REPRESENTANTES</v>
      </c>
      <c r="I147">
        <v>46205</v>
      </c>
      <c r="J147" t="str">
        <v>Não</v>
      </c>
      <c r="K147" t="str">
        <v/>
      </c>
      <c r="L147" t="str">
        <v/>
      </c>
      <c r="M147" t="str">
        <v/>
      </c>
      <c r="N147" t="str">
        <v/>
      </c>
      <c r="O147" t="str">
        <v/>
      </c>
      <c r="P147" t="str">
        <v/>
      </c>
      <c r="Q147" t="str">
        <v/>
      </c>
      <c r="R147" t="str">
        <v/>
      </c>
    </row>
    <row r="148">
      <c r="A148">
        <v>45591</v>
      </c>
      <c r="B148" t="str">
        <v>Teve Interesse</v>
      </c>
      <c r="C148">
        <v>1615</v>
      </c>
      <c r="D148" t="str">
        <v>Carlos Alberto</v>
      </c>
      <c r="E148" t="str">
        <v>Externo</v>
      </c>
      <c r="F148" t="str">
        <v>Sul</v>
      </c>
      <c r="G148" t="str">
        <v>Moizes</v>
      </c>
      <c r="H148" t="str">
        <v>VOLTE A COMPRAR | 20-44 DIAS | REPRESENTANTES</v>
      </c>
      <c r="I148">
        <v>46205</v>
      </c>
      <c r="J148" t="str">
        <v>Não</v>
      </c>
      <c r="K148" t="str">
        <v/>
      </c>
      <c r="L148" t="str">
        <v/>
      </c>
      <c r="M148" t="str">
        <v/>
      </c>
      <c r="N148" t="str">
        <v/>
      </c>
      <c r="O148" t="str">
        <v/>
      </c>
      <c r="P148" t="str">
        <v/>
      </c>
      <c r="Q148" t="str">
        <v/>
      </c>
      <c r="R148" t="str">
        <v/>
      </c>
    </row>
    <row r="149">
      <c r="A149">
        <v>45710</v>
      </c>
      <c r="B149" t="str">
        <v>Teve Interesse</v>
      </c>
      <c r="C149">
        <v>1150</v>
      </c>
      <c r="D149" t="str">
        <v>Nei Xavier</v>
      </c>
      <c r="E149" t="str">
        <v>Externo</v>
      </c>
      <c r="F149" t="str">
        <v>Grande POA</v>
      </c>
      <c r="G149" t="str">
        <v>Juliano</v>
      </c>
      <c r="H149" t="str">
        <v>VOLTE A COMPRAR | 20-44 DIAS | REPRESENTANTES</v>
      </c>
      <c r="I149">
        <v>46205</v>
      </c>
      <c r="J149" t="str">
        <v>Não</v>
      </c>
      <c r="K149" t="str">
        <v/>
      </c>
      <c r="L149" t="str">
        <v/>
      </c>
      <c r="M149" t="str">
        <v/>
      </c>
      <c r="N149" t="str">
        <v/>
      </c>
      <c r="O149" t="str">
        <v/>
      </c>
      <c r="P149" t="str">
        <v/>
      </c>
      <c r="Q149" t="str">
        <v/>
      </c>
      <c r="R149" t="str">
        <v/>
      </c>
    </row>
    <row r="150">
      <c r="A150">
        <v>34855</v>
      </c>
      <c r="B150" t="str">
        <v>Teve Interesse</v>
      </c>
      <c r="C150">
        <v>1211</v>
      </c>
      <c r="D150" t="str">
        <v>Cristielen da Silva</v>
      </c>
      <c r="E150" t="str">
        <v>Televendas</v>
      </c>
      <c r="F150" t="str">
        <v>Vale dos Sinos</v>
      </c>
      <c r="G150" t="str">
        <v>Franciele</v>
      </c>
      <c r="H150" t="str">
        <v>AÇAÍ | 45-120 DIAS | TELEVENDAS</v>
      </c>
      <c r="I150">
        <v>46206</v>
      </c>
      <c r="J150" t="str">
        <v>Não</v>
      </c>
      <c r="K150" t="str">
        <v/>
      </c>
      <c r="L150" t="str">
        <v/>
      </c>
      <c r="M150" t="str">
        <v/>
      </c>
      <c r="N150" t="str">
        <v/>
      </c>
      <c r="O150" t="str">
        <v/>
      </c>
      <c r="P150" t="str">
        <v/>
      </c>
      <c r="Q150" t="str">
        <v/>
      </c>
      <c r="R150" t="str">
        <v/>
      </c>
    </row>
    <row r="151">
      <c r="A151">
        <v>36147</v>
      </c>
      <c r="B151" t="str">
        <v>Teve Interesse</v>
      </c>
      <c r="C151">
        <v>9886</v>
      </c>
      <c r="D151" t="str">
        <v>Tatiana | Serra</v>
      </c>
      <c r="E151" t="str">
        <v>Televendas</v>
      </c>
      <c r="F151" t="str">
        <v>Serra</v>
      </c>
      <c r="G151" t="str">
        <v>Franciele</v>
      </c>
      <c r="H151" t="str">
        <v>AÇAÍ | 45-120 DIAS | TELEVENDAS</v>
      </c>
      <c r="I151">
        <v>46206</v>
      </c>
      <c r="J151" t="str">
        <v>Não</v>
      </c>
      <c r="K151" t="str">
        <v/>
      </c>
      <c r="L151" t="str">
        <v/>
      </c>
      <c r="M151" t="str">
        <v/>
      </c>
      <c r="N151" t="str">
        <v/>
      </c>
      <c r="O151" t="str">
        <v/>
      </c>
      <c r="P151" t="str">
        <v/>
      </c>
      <c r="Q151" t="str">
        <v/>
      </c>
      <c r="R151" t="str">
        <v/>
      </c>
    </row>
    <row r="152">
      <c r="A152">
        <v>36638</v>
      </c>
      <c r="B152" t="str">
        <v>Teve Interesse</v>
      </c>
      <c r="C152">
        <v>1464</v>
      </c>
      <c r="D152" t="str">
        <v>Camila Arruda</v>
      </c>
      <c r="E152" t="str">
        <v>Televendas</v>
      </c>
      <c r="F152" t="str">
        <v>Sul</v>
      </c>
      <c r="G152" t="str">
        <v>Franciele</v>
      </c>
      <c r="H152" t="str">
        <v>AÇAÍ | 45-120 DIAS | TELEVENDAS</v>
      </c>
      <c r="I152">
        <v>46206</v>
      </c>
      <c r="J152" t="str">
        <v>Não</v>
      </c>
      <c r="K152" t="str">
        <v/>
      </c>
      <c r="L152" t="str">
        <v/>
      </c>
      <c r="M152" t="str">
        <v/>
      </c>
      <c r="N152" t="str">
        <v/>
      </c>
      <c r="O152" t="str">
        <v/>
      </c>
      <c r="P152" t="str">
        <v/>
      </c>
      <c r="Q152" t="str">
        <v/>
      </c>
      <c r="R152" t="str">
        <v/>
      </c>
    </row>
    <row r="153">
      <c r="A153">
        <v>39914</v>
      </c>
      <c r="B153" t="str">
        <v>Teve Interesse</v>
      </c>
      <c r="C153">
        <v>1596</v>
      </c>
      <c r="D153" t="str">
        <v>Ariane Quebao</v>
      </c>
      <c r="E153" t="str">
        <v>Televendas</v>
      </c>
      <c r="F153" t="str">
        <v>Grande POA</v>
      </c>
      <c r="G153" t="str">
        <v>Franciele</v>
      </c>
      <c r="H153" t="str">
        <v>AÇAÍ | 45-120 DIAS | TELEVENDAS</v>
      </c>
      <c r="I153">
        <v>46206</v>
      </c>
      <c r="J153" t="str">
        <v>Sim</v>
      </c>
      <c r="K153">
        <v>175.75</v>
      </c>
      <c r="L153" t="str">
        <v/>
      </c>
      <c r="M153" t="str">
        <v/>
      </c>
      <c r="N153" t="str">
        <v/>
      </c>
      <c r="O153" t="str">
        <v/>
      </c>
      <c r="P153" t="str">
        <v/>
      </c>
      <c r="Q153" t="str">
        <v/>
      </c>
      <c r="R153" t="str">
        <v/>
      </c>
    </row>
    <row r="154">
      <c r="A154">
        <v>42253</v>
      </c>
      <c r="B154" t="str">
        <v>Teve Interesse</v>
      </c>
      <c r="C154">
        <v>1464</v>
      </c>
      <c r="D154" t="str">
        <v>Camila Arruda</v>
      </c>
      <c r="E154" t="str">
        <v>Televendas</v>
      </c>
      <c r="F154" t="str">
        <v>Sul</v>
      </c>
      <c r="G154" t="str">
        <v>Franciele</v>
      </c>
      <c r="H154" t="str">
        <v>AÇAÍ | 45-120 DIAS | TELEVENDAS</v>
      </c>
      <c r="I154">
        <v>46206</v>
      </c>
      <c r="J154" t="str">
        <v>Não</v>
      </c>
      <c r="K154" t="str">
        <v/>
      </c>
      <c r="L154" t="str">
        <v/>
      </c>
      <c r="M154" t="str">
        <v/>
      </c>
      <c r="N154" t="str">
        <v/>
      </c>
      <c r="O154" t="str">
        <v/>
      </c>
      <c r="P154" t="str">
        <v/>
      </c>
      <c r="Q154" t="str">
        <v/>
      </c>
      <c r="R154" t="str">
        <v/>
      </c>
    </row>
    <row r="155">
      <c r="A155">
        <v>19609</v>
      </c>
      <c r="B155" t="str">
        <v>Teve Interesse</v>
      </c>
      <c r="C155">
        <v>9937</v>
      </c>
      <c r="D155" t="str">
        <v>Gislaine Muller</v>
      </c>
      <c r="E155" t="str">
        <v>Externo</v>
      </c>
      <c r="F155" t="str">
        <v>Vale dos Sinos</v>
      </c>
      <c r="G155" t="str">
        <v>Leonardo</v>
      </c>
      <c r="H155" t="str">
        <v>CAMPANHA AÇAÍ | 20-44 DIAS | REPRESENTANTES</v>
      </c>
      <c r="I155">
        <v>46209</v>
      </c>
      <c r="J155" t="str">
        <v>Não</v>
      </c>
      <c r="K155" t="str">
        <v/>
      </c>
      <c r="L155" t="str">
        <v/>
      </c>
      <c r="M155" t="str">
        <v/>
      </c>
      <c r="N155" t="str">
        <v/>
      </c>
      <c r="O155" t="str">
        <v/>
      </c>
      <c r="P155" t="str">
        <v/>
      </c>
      <c r="Q155" t="str">
        <v/>
      </c>
      <c r="R155" t="str">
        <v/>
      </c>
    </row>
    <row r="156">
      <c r="A156">
        <v>21419</v>
      </c>
      <c r="B156" t="str">
        <v>Teve Interesse</v>
      </c>
      <c r="C156">
        <v>1504</v>
      </c>
      <c r="D156" t="str">
        <v>Andreia Lopes</v>
      </c>
      <c r="E156" t="str">
        <v>Externo</v>
      </c>
      <c r="F156" t="str">
        <v>Serra</v>
      </c>
      <c r="G156" t="str">
        <v>Jackson</v>
      </c>
      <c r="H156" t="str">
        <v>CAMPANHA AÇAÍ | 20-44 DIAS | REPRESENTANTES</v>
      </c>
      <c r="I156">
        <v>46209</v>
      </c>
      <c r="J156" t="str">
        <v>Não</v>
      </c>
      <c r="K156" t="str">
        <v/>
      </c>
      <c r="L156" t="str">
        <v/>
      </c>
      <c r="M156" t="str">
        <v/>
      </c>
      <c r="N156" t="str">
        <v/>
      </c>
      <c r="O156" t="str">
        <v/>
      </c>
      <c r="P156" t="str">
        <v/>
      </c>
      <c r="Q156" t="str">
        <v/>
      </c>
      <c r="R156" t="str">
        <v/>
      </c>
    </row>
    <row r="157">
      <c r="A157">
        <v>22657</v>
      </c>
      <c r="B157" t="str">
        <v>Teve Interesse</v>
      </c>
      <c r="C157">
        <v>9808</v>
      </c>
      <c r="D157" t="str">
        <v>Marcelo de Souza</v>
      </c>
      <c r="E157" t="str">
        <v>Externo</v>
      </c>
      <c r="F157" t="str">
        <v>Sul</v>
      </c>
      <c r="G157" t="str">
        <v>Moizes</v>
      </c>
      <c r="H157" t="str">
        <v>CAMPANHA AÇAÍ | 20-44 DIAS | REPRESENTANTES</v>
      </c>
      <c r="I157">
        <v>46209</v>
      </c>
      <c r="J157" t="str">
        <v>Não</v>
      </c>
      <c r="K157" t="str">
        <v/>
      </c>
      <c r="L157" t="str">
        <v/>
      </c>
      <c r="M157" t="str">
        <v/>
      </c>
      <c r="N157" t="str">
        <v/>
      </c>
      <c r="O157" t="str">
        <v/>
      </c>
      <c r="P157" t="str">
        <v/>
      </c>
      <c r="Q157" t="str">
        <v/>
      </c>
      <c r="R157" t="str">
        <v/>
      </c>
    </row>
    <row r="158">
      <c r="A158">
        <v>23202</v>
      </c>
      <c r="B158" t="str">
        <v>Teve Interesse</v>
      </c>
      <c r="C158">
        <v>1234</v>
      </c>
      <c r="D158" t="str">
        <v>Elisiane Lambrechtt</v>
      </c>
      <c r="E158" t="str">
        <v>Externo</v>
      </c>
      <c r="F158" t="str">
        <v>Grande POA</v>
      </c>
      <c r="G158" t="str">
        <v>Juliano</v>
      </c>
      <c r="H158" t="str">
        <v>CAMPANHA AÇAÍ | 20-44 DIAS | REPRESENTANTES</v>
      </c>
      <c r="I158">
        <v>46209</v>
      </c>
      <c r="J158" t="str">
        <v>Não</v>
      </c>
      <c r="K158" t="str">
        <v/>
      </c>
      <c r="L158" t="str">
        <v/>
      </c>
      <c r="M158" t="str">
        <v/>
      </c>
      <c r="N158" t="str">
        <v/>
      </c>
      <c r="O158" t="str">
        <v/>
      </c>
      <c r="P158" t="str">
        <v/>
      </c>
      <c r="Q158" t="str">
        <v/>
      </c>
      <c r="R158" t="str">
        <v/>
      </c>
    </row>
    <row r="159">
      <c r="A159">
        <v>33983</v>
      </c>
      <c r="B159" t="str">
        <v>Teve Interesse</v>
      </c>
      <c r="C159">
        <v>1237</v>
      </c>
      <c r="D159" t="str">
        <v>Fabricio Brancher</v>
      </c>
      <c r="E159" t="str">
        <v>Externo</v>
      </c>
      <c r="F159" t="str">
        <v>Serra</v>
      </c>
      <c r="G159" t="str">
        <v>Jackson</v>
      </c>
      <c r="H159" t="str">
        <v>CAMPANHA AÇAÍ | 20-44 DIAS | REPRESENTANTES</v>
      </c>
      <c r="I159">
        <v>46209</v>
      </c>
      <c r="J159" t="str">
        <v>Não</v>
      </c>
      <c r="K159" t="str">
        <v/>
      </c>
      <c r="L159" t="str">
        <v/>
      </c>
      <c r="M159" t="str">
        <v/>
      </c>
      <c r="N159" t="str">
        <v/>
      </c>
      <c r="O159" t="str">
        <v/>
      </c>
      <c r="P159" t="str">
        <v/>
      </c>
      <c r="Q159" t="str">
        <v/>
      </c>
      <c r="R159" t="str">
        <v/>
      </c>
    </row>
    <row r="160">
      <c r="A160">
        <v>34079</v>
      </c>
      <c r="B160" t="str">
        <v>Teve Interesse</v>
      </c>
      <c r="C160">
        <v>1219</v>
      </c>
      <c r="D160" t="str">
        <v>Rita de Cassia</v>
      </c>
      <c r="E160" t="str">
        <v>Externo</v>
      </c>
      <c r="F160" t="str">
        <v>Sul</v>
      </c>
      <c r="G160" t="str">
        <v>Moizes</v>
      </c>
      <c r="H160" t="str">
        <v>CAMPANHA AÇAÍ | 20-44 DIAS | REPRESENTANTES</v>
      </c>
      <c r="I160">
        <v>46209</v>
      </c>
      <c r="J160" t="str">
        <v>Não</v>
      </c>
      <c r="K160" t="str">
        <v/>
      </c>
      <c r="L160" t="str">
        <v/>
      </c>
      <c r="M160" t="str">
        <v/>
      </c>
      <c r="N160" t="str">
        <v/>
      </c>
      <c r="O160" t="str">
        <v/>
      </c>
      <c r="P160" t="str">
        <v/>
      </c>
      <c r="Q160" t="str">
        <v/>
      </c>
      <c r="R160" t="str">
        <v/>
      </c>
    </row>
    <row r="161">
      <c r="A161">
        <v>35090</v>
      </c>
      <c r="B161" t="str">
        <v>Teve Interesse</v>
      </c>
      <c r="C161">
        <v>9886</v>
      </c>
      <c r="D161" t="str">
        <v>Tatiana | Serra</v>
      </c>
      <c r="E161" t="str">
        <v>Televendas</v>
      </c>
      <c r="F161" t="str">
        <v>Serra</v>
      </c>
      <c r="G161" t="str">
        <v>Franciele</v>
      </c>
      <c r="H161" t="str">
        <v>CAMPANHA AÇAÍ | 20-44 DIAS | TELEVENDAS</v>
      </c>
      <c r="I161">
        <v>46209</v>
      </c>
      <c r="J161" t="str">
        <v>Não</v>
      </c>
      <c r="K161" t="str">
        <v/>
      </c>
      <c r="L161" t="str">
        <v/>
      </c>
      <c r="M161" t="str">
        <v/>
      </c>
      <c r="N161" t="str">
        <v/>
      </c>
      <c r="O161" t="str">
        <v/>
      </c>
      <c r="P161" t="str">
        <v/>
      </c>
      <c r="Q161" t="str">
        <v/>
      </c>
      <c r="R161" t="str">
        <v/>
      </c>
    </row>
    <row r="162">
      <c r="A162">
        <v>36675</v>
      </c>
      <c r="B162" t="str">
        <v>Teve Interesse</v>
      </c>
      <c r="C162">
        <v>1596</v>
      </c>
      <c r="D162" t="str">
        <v>Ariane Quebao</v>
      </c>
      <c r="E162" t="str">
        <v>Televendas</v>
      </c>
      <c r="F162" t="str">
        <v>Grande POA</v>
      </c>
      <c r="G162" t="str">
        <v>Franciele</v>
      </c>
      <c r="H162" t="str">
        <v>CAMPANHA AÇAÍ | 20-44 DIAS | TELEVENDAS</v>
      </c>
      <c r="I162">
        <v>46209</v>
      </c>
      <c r="J162" t="str">
        <v>Não</v>
      </c>
      <c r="K162" t="str">
        <v/>
      </c>
      <c r="L162" t="str">
        <v/>
      </c>
      <c r="M162" t="str">
        <v/>
      </c>
      <c r="N162" t="str">
        <v/>
      </c>
      <c r="O162" t="str">
        <v/>
      </c>
      <c r="P162" t="str">
        <v/>
      </c>
      <c r="Q162" t="str">
        <v/>
      </c>
      <c r="R162" t="str">
        <v/>
      </c>
    </row>
    <row r="163">
      <c r="A163">
        <v>36687</v>
      </c>
      <c r="B163" t="str">
        <v>Teve Interesse</v>
      </c>
      <c r="C163" t="str">
        <v/>
      </c>
      <c r="D163" t="str">
        <v>Tatiana | Litoral</v>
      </c>
      <c r="E163" t="str">
        <v>Televendas</v>
      </c>
      <c r="F163" t="str">
        <v>Litoral</v>
      </c>
      <c r="G163" t="str">
        <v>Franciele</v>
      </c>
      <c r="H163" t="str">
        <v>CAMPANHA AÇAÍ | 20-44 DIAS | REPRESENTANTES</v>
      </c>
      <c r="I163">
        <v>46209</v>
      </c>
      <c r="J163" t="str">
        <v>Não</v>
      </c>
      <c r="K163" t="str">
        <v/>
      </c>
      <c r="L163" t="str">
        <v/>
      </c>
      <c r="M163" t="str">
        <v/>
      </c>
      <c r="N163" t="str">
        <v/>
      </c>
      <c r="O163" t="str">
        <v/>
      </c>
      <c r="P163" t="str">
        <v/>
      </c>
      <c r="Q163" t="str">
        <v/>
      </c>
      <c r="R163" t="str">
        <v/>
      </c>
    </row>
    <row r="164">
      <c r="A164">
        <v>36861</v>
      </c>
      <c r="B164" t="str">
        <v>Teve Interesse</v>
      </c>
      <c r="C164">
        <v>1363</v>
      </c>
      <c r="D164" t="str">
        <v>Jonathas Baptista</v>
      </c>
      <c r="E164" t="str">
        <v>Externo</v>
      </c>
      <c r="F164" t="str">
        <v>Litoral</v>
      </c>
      <c r="G164" t="str">
        <v>Muriel</v>
      </c>
      <c r="H164" t="str">
        <v>CAMPANHA AÇAÍ | 20-44 DIAS | REPRESENTANTES</v>
      </c>
      <c r="I164">
        <v>46209</v>
      </c>
      <c r="J164" t="str">
        <v>Não</v>
      </c>
      <c r="K164" t="str">
        <v/>
      </c>
      <c r="L164" t="str">
        <v/>
      </c>
      <c r="M164" t="str">
        <v/>
      </c>
      <c r="N164" t="str">
        <v/>
      </c>
      <c r="O164" t="str">
        <v/>
      </c>
      <c r="P164" t="str">
        <v/>
      </c>
      <c r="Q164" t="str">
        <v/>
      </c>
      <c r="R164" t="str">
        <v/>
      </c>
    </row>
    <row r="165">
      <c r="A165">
        <v>37342</v>
      </c>
      <c r="B165" t="str">
        <v>Teve Interesse</v>
      </c>
      <c r="C165">
        <v>1211</v>
      </c>
      <c r="D165" t="str">
        <v>Cristielen da Silva</v>
      </c>
      <c r="E165" t="str">
        <v>Televendas</v>
      </c>
      <c r="F165" t="str">
        <v>Vale dos Sinos</v>
      </c>
      <c r="G165" t="str">
        <v>Franciele</v>
      </c>
      <c r="H165" t="str">
        <v>CAMPANHA AÇAÍ | 20-44 DIAS | REPRESENTANTES</v>
      </c>
      <c r="I165">
        <v>46209</v>
      </c>
      <c r="J165" t="str">
        <v>Não</v>
      </c>
      <c r="K165" t="str">
        <v/>
      </c>
      <c r="L165" t="str">
        <v/>
      </c>
      <c r="M165" t="str">
        <v/>
      </c>
      <c r="N165" t="str">
        <v/>
      </c>
      <c r="O165" t="str">
        <v/>
      </c>
      <c r="P165" t="str">
        <v/>
      </c>
      <c r="Q165" t="str">
        <v/>
      </c>
      <c r="R165" t="str">
        <v/>
      </c>
    </row>
    <row r="166">
      <c r="A166">
        <v>37820</v>
      </c>
      <c r="B166" t="str">
        <v>Teve Interesse</v>
      </c>
      <c r="C166">
        <v>9886</v>
      </c>
      <c r="D166" t="str">
        <v>Tatiana | Serra</v>
      </c>
      <c r="E166" t="str">
        <v>Televendas</v>
      </c>
      <c r="F166" t="str">
        <v>Serra</v>
      </c>
      <c r="G166" t="str">
        <v>Franciele</v>
      </c>
      <c r="H166" t="str">
        <v>CAMPANHA AÇAÍ | 20-44 DIAS | TELEVENDAS</v>
      </c>
      <c r="I166">
        <v>46209</v>
      </c>
      <c r="J166" t="str">
        <v>Não</v>
      </c>
      <c r="K166" t="str">
        <v/>
      </c>
      <c r="L166" t="str">
        <v/>
      </c>
      <c r="M166" t="str">
        <v/>
      </c>
      <c r="N166" t="str">
        <v/>
      </c>
      <c r="O166" t="str">
        <v/>
      </c>
      <c r="P166" t="str">
        <v/>
      </c>
      <c r="Q166" t="str">
        <v/>
      </c>
      <c r="R166" t="str">
        <v/>
      </c>
    </row>
    <row r="167">
      <c r="A167">
        <v>39508</v>
      </c>
      <c r="B167" t="str">
        <v>Teve Interesse</v>
      </c>
      <c r="C167">
        <v>1552</v>
      </c>
      <c r="D167" t="str">
        <v>GianFrancisco Silva</v>
      </c>
      <c r="E167" t="str">
        <v>Externo</v>
      </c>
      <c r="F167" t="str">
        <v>Grande POA</v>
      </c>
      <c r="G167" t="str">
        <v>Juliano</v>
      </c>
      <c r="H167" t="str">
        <v>CAMPANHA AÇAÍ | 20-44 DIAS | REPRESENTANTES</v>
      </c>
      <c r="I167">
        <v>46209</v>
      </c>
      <c r="J167" t="str">
        <v>Não</v>
      </c>
      <c r="K167" t="str">
        <v/>
      </c>
      <c r="L167" t="str">
        <v/>
      </c>
      <c r="M167" t="str">
        <v/>
      </c>
      <c r="N167" t="str">
        <v/>
      </c>
      <c r="O167" t="str">
        <v/>
      </c>
      <c r="P167" t="str">
        <v/>
      </c>
      <c r="Q167" t="str">
        <v/>
      </c>
      <c r="R167" t="str">
        <v/>
      </c>
    </row>
    <row r="168">
      <c r="A168">
        <v>39800</v>
      </c>
      <c r="B168" t="str">
        <v>Teve Interesse</v>
      </c>
      <c r="C168">
        <v>1596</v>
      </c>
      <c r="D168" t="str">
        <v>Ariane Quebao</v>
      </c>
      <c r="E168" t="str">
        <v>Televendas</v>
      </c>
      <c r="F168" t="str">
        <v>Grande POA</v>
      </c>
      <c r="G168" t="str">
        <v>Franciele</v>
      </c>
      <c r="H168" t="str">
        <v>CAMPANHA AÇAÍ | 20-44 DIAS | TELEVENDAS</v>
      </c>
      <c r="I168">
        <v>46209</v>
      </c>
      <c r="J168" t="str">
        <v>Não</v>
      </c>
      <c r="K168" t="str">
        <v/>
      </c>
      <c r="L168" t="str">
        <v/>
      </c>
      <c r="M168" t="str">
        <v/>
      </c>
      <c r="N168" t="str">
        <v/>
      </c>
      <c r="O168" t="str">
        <v/>
      </c>
      <c r="P168" t="str">
        <v/>
      </c>
      <c r="Q168" t="str">
        <v/>
      </c>
      <c r="R168" t="str">
        <v/>
      </c>
    </row>
    <row r="169">
      <c r="A169">
        <v>41214</v>
      </c>
      <c r="B169" t="str">
        <v>Sem Interesse</v>
      </c>
      <c r="C169">
        <v>0</v>
      </c>
      <c r="D169" t="str">
        <v>Perdido</v>
      </c>
      <c r="E169" t="str">
        <v>Perdido</v>
      </c>
      <c r="F169" t="str">
        <v>Perdido</v>
      </c>
      <c r="G169" t="str">
        <v>Perdido</v>
      </c>
      <c r="H169" t="str">
        <v>CAMPANHA AÇAÍ | 20-44 DIAS | REPRESENTANTES</v>
      </c>
      <c r="I169">
        <v>46209</v>
      </c>
      <c r="J169" t="str">
        <v>Não</v>
      </c>
      <c r="K169" t="str">
        <v/>
      </c>
      <c r="L169" t="str">
        <v/>
      </c>
      <c r="M169" t="str">
        <v/>
      </c>
      <c r="N169" t="str">
        <v/>
      </c>
      <c r="O169" t="str">
        <v/>
      </c>
      <c r="P169" t="str">
        <v/>
      </c>
      <c r="Q169" t="str">
        <v/>
      </c>
      <c r="R169" t="str">
        <v/>
      </c>
    </row>
    <row r="170">
      <c r="A170">
        <v>41270</v>
      </c>
      <c r="B170" t="str">
        <v>Teve Interesse</v>
      </c>
      <c r="C170">
        <v>1211</v>
      </c>
      <c r="D170" t="str">
        <v>Cristielen da Silva</v>
      </c>
      <c r="E170" t="str">
        <v>Televendas</v>
      </c>
      <c r="F170" t="str">
        <v>Vale dos Sinos</v>
      </c>
      <c r="G170" t="str">
        <v>Franciele</v>
      </c>
      <c r="H170" t="str">
        <v>CAMPANHA AÇAÍ | 20-44 DIAS | TELEVENDAS</v>
      </c>
      <c r="I170">
        <v>46209</v>
      </c>
      <c r="J170" t="str">
        <v>Não</v>
      </c>
      <c r="K170" t="str">
        <v/>
      </c>
      <c r="L170" t="str">
        <v/>
      </c>
      <c r="M170" t="str">
        <v/>
      </c>
      <c r="N170" t="str">
        <v/>
      </c>
      <c r="O170" t="str">
        <v/>
      </c>
      <c r="P170" t="str">
        <v/>
      </c>
      <c r="Q170" t="str">
        <v/>
      </c>
      <c r="R170" t="str">
        <v/>
      </c>
    </row>
    <row r="171">
      <c r="A171">
        <v>41286</v>
      </c>
      <c r="B171" t="str">
        <v>Teve Interesse</v>
      </c>
      <c r="C171" t="str">
        <v/>
      </c>
      <c r="D171" t="str">
        <v>Tatiana | Litoral</v>
      </c>
      <c r="E171" t="str">
        <v>Televendas</v>
      </c>
      <c r="F171" t="str">
        <v>Litoral</v>
      </c>
      <c r="G171" t="str">
        <v>Franciele</v>
      </c>
      <c r="H171" t="str">
        <v>CAMPANHA AÇAÍ | 20-44 DIAS | TELEVENDAS</v>
      </c>
      <c r="I171">
        <v>46209</v>
      </c>
      <c r="J171" t="str">
        <v>Não</v>
      </c>
      <c r="K171" t="str">
        <v/>
      </c>
      <c r="L171" t="str">
        <v/>
      </c>
      <c r="M171" t="str">
        <v/>
      </c>
      <c r="N171" t="str">
        <v/>
      </c>
      <c r="O171" t="str">
        <v/>
      </c>
      <c r="P171" t="str">
        <v/>
      </c>
      <c r="Q171" t="str">
        <v/>
      </c>
      <c r="R171" t="str">
        <v/>
      </c>
    </row>
    <row r="172">
      <c r="A172">
        <v>41688</v>
      </c>
      <c r="B172" t="str">
        <v>Teve Interesse</v>
      </c>
      <c r="C172" t="str">
        <v/>
      </c>
      <c r="D172" t="str">
        <v>Tatiana | Litoral</v>
      </c>
      <c r="E172" t="str">
        <v>Televendas</v>
      </c>
      <c r="F172" t="str">
        <v>Litoral</v>
      </c>
      <c r="G172" t="str">
        <v>Franciele</v>
      </c>
      <c r="H172" t="str">
        <v>CAMPANHA AÇAÍ | 20-44 DIAS | TELEVENDAS</v>
      </c>
      <c r="I172">
        <v>46209</v>
      </c>
      <c r="J172" t="str">
        <v>Não</v>
      </c>
      <c r="K172" t="str">
        <v/>
      </c>
      <c r="L172" t="str">
        <v/>
      </c>
      <c r="M172" t="str">
        <v/>
      </c>
      <c r="N172" t="str">
        <v/>
      </c>
      <c r="O172" t="str">
        <v/>
      </c>
      <c r="P172" t="str">
        <v/>
      </c>
      <c r="Q172" t="str">
        <v/>
      </c>
      <c r="R172" t="str">
        <v/>
      </c>
    </row>
    <row r="173">
      <c r="A173">
        <v>41959</v>
      </c>
      <c r="B173" t="str">
        <v>Teve Interesse</v>
      </c>
      <c r="C173">
        <v>1575</v>
      </c>
      <c r="D173" t="str">
        <v>Jenifer Rodrigues</v>
      </c>
      <c r="E173" t="str">
        <v>Televendas</v>
      </c>
      <c r="F173" t="str">
        <v>Geral</v>
      </c>
      <c r="G173" t="str">
        <v>Franciele</v>
      </c>
      <c r="H173" t="str">
        <v>CAMPANHA AÇAÍ | 20-44 DIAS | TELEVENDAS</v>
      </c>
      <c r="I173">
        <v>46209</v>
      </c>
      <c r="J173" t="str">
        <v>Não</v>
      </c>
      <c r="K173" t="str">
        <v/>
      </c>
      <c r="L173" t="str">
        <v/>
      </c>
      <c r="M173" t="str">
        <v/>
      </c>
      <c r="N173" t="str">
        <v/>
      </c>
      <c r="O173" t="str">
        <v/>
      </c>
      <c r="P173" t="str">
        <v/>
      </c>
      <c r="Q173" t="str">
        <v/>
      </c>
      <c r="R173" t="str">
        <v/>
      </c>
    </row>
    <row r="174">
      <c r="A174">
        <v>42118</v>
      </c>
      <c r="B174" t="str">
        <v>Teve Interesse</v>
      </c>
      <c r="C174">
        <v>1464</v>
      </c>
      <c r="D174" t="str">
        <v>Camila Arruda</v>
      </c>
      <c r="E174" t="str">
        <v>Televendas</v>
      </c>
      <c r="F174" t="str">
        <v>Sul</v>
      </c>
      <c r="G174" t="str">
        <v>Franciele</v>
      </c>
      <c r="H174" t="str">
        <v>CAMPANHA AÇAÍ | 20-44 DIAS | TELEVENDAS</v>
      </c>
      <c r="I174">
        <v>46209</v>
      </c>
      <c r="J174" t="str">
        <v>Não</v>
      </c>
      <c r="K174" t="str">
        <v/>
      </c>
      <c r="L174" t="str">
        <v/>
      </c>
      <c r="M174" t="str">
        <v/>
      </c>
      <c r="N174" t="str">
        <v/>
      </c>
      <c r="O174" t="str">
        <v/>
      </c>
      <c r="P174" t="str">
        <v/>
      </c>
      <c r="Q174" t="str">
        <v/>
      </c>
      <c r="R174" t="str">
        <v/>
      </c>
    </row>
    <row r="175">
      <c r="A175">
        <v>42574</v>
      </c>
      <c r="B175" t="str">
        <v>Sem Interesse</v>
      </c>
      <c r="C175">
        <v>0</v>
      </c>
      <c r="D175" t="str">
        <v>Perdido</v>
      </c>
      <c r="E175" t="str">
        <v>Perdido</v>
      </c>
      <c r="F175" t="str">
        <v>Perdido</v>
      </c>
      <c r="G175" t="str">
        <v>Perdido</v>
      </c>
      <c r="H175" t="str">
        <v>CAMPANHA AÇAÍ | 20-44 DIAS | TELEVENDAS</v>
      </c>
      <c r="I175">
        <v>46209</v>
      </c>
      <c r="J175" t="str">
        <v>Não</v>
      </c>
      <c r="K175" t="str">
        <v/>
      </c>
      <c r="L175" t="str">
        <v/>
      </c>
      <c r="M175" t="str">
        <v/>
      </c>
      <c r="N175" t="str">
        <v/>
      </c>
      <c r="O175" t="str">
        <v/>
      </c>
      <c r="P175" t="str">
        <v/>
      </c>
      <c r="Q175" t="str">
        <v/>
      </c>
      <c r="R175" t="str">
        <v/>
      </c>
    </row>
    <row r="176">
      <c r="A176">
        <v>44225</v>
      </c>
      <c r="B176" t="str">
        <v>Teve Interesse</v>
      </c>
      <c r="C176" t="str">
        <v/>
      </c>
      <c r="D176" t="str">
        <v>Timoteo Hellwig</v>
      </c>
      <c r="E176" t="str">
        <v>Externo</v>
      </c>
      <c r="F176" t="str">
        <v>Sul</v>
      </c>
      <c r="G176" t="str">
        <v>Moizes</v>
      </c>
      <c r="H176" t="str">
        <v>CAMPANHA AÇAÍ | 20-44 DIAS | REPRESENTANTES</v>
      </c>
      <c r="I176">
        <v>46209</v>
      </c>
      <c r="J176" t="str">
        <v>Não</v>
      </c>
      <c r="K176" t="str">
        <v/>
      </c>
      <c r="L176" t="str">
        <v/>
      </c>
      <c r="M176" t="str">
        <v/>
      </c>
      <c r="N176" t="str">
        <v/>
      </c>
      <c r="O176" t="str">
        <v/>
      </c>
      <c r="P176" t="str">
        <v/>
      </c>
      <c r="Q176" t="str">
        <v/>
      </c>
      <c r="R176" t="str">
        <v/>
      </c>
    </row>
    <row r="177">
      <c r="A177">
        <v>44732</v>
      </c>
      <c r="B177" t="str">
        <v>Teve Interesse</v>
      </c>
      <c r="C177">
        <v>1273</v>
      </c>
      <c r="D177" t="str">
        <v>Bruno Santos</v>
      </c>
      <c r="E177" t="str">
        <v>Externo</v>
      </c>
      <c r="F177" t="str">
        <v>Litoral</v>
      </c>
      <c r="G177" t="str">
        <v>Muriel</v>
      </c>
      <c r="H177" t="str">
        <v>CAMPANHA AÇAÍ | 20-44 DIAS | REPRESENTANTES</v>
      </c>
      <c r="I177">
        <v>46209</v>
      </c>
      <c r="J177" t="str">
        <v>Não</v>
      </c>
      <c r="K177" t="str">
        <v/>
      </c>
      <c r="L177" t="str">
        <v/>
      </c>
      <c r="M177" t="str">
        <v/>
      </c>
      <c r="N177" t="str">
        <v/>
      </c>
      <c r="O177" t="str">
        <v/>
      </c>
      <c r="P177" t="str">
        <v/>
      </c>
      <c r="Q177" t="str">
        <v/>
      </c>
      <c r="R177" t="str">
        <v/>
      </c>
    </row>
    <row r="178">
      <c r="A178">
        <v>45241</v>
      </c>
      <c r="B178" t="str">
        <v>Teve Interesse</v>
      </c>
      <c r="C178">
        <v>1607</v>
      </c>
      <c r="D178" t="str">
        <v>Luiz Olavo</v>
      </c>
      <c r="E178" t="str">
        <v>Externo</v>
      </c>
      <c r="F178" t="str">
        <v>Litoral</v>
      </c>
      <c r="G178" t="str">
        <v>Muriel</v>
      </c>
      <c r="H178" t="str">
        <v>CAMPANHA AÇAÍ | 20-44 DIAS | REPRESENTANTES</v>
      </c>
      <c r="I178">
        <v>46209</v>
      </c>
      <c r="J178" t="str">
        <v>Não</v>
      </c>
      <c r="K178" t="str">
        <v/>
      </c>
      <c r="L178" t="str">
        <v/>
      </c>
      <c r="M178" t="str">
        <v/>
      </c>
      <c r="N178" t="str">
        <v/>
      </c>
      <c r="O178" t="str">
        <v/>
      </c>
      <c r="P178" t="str">
        <v/>
      </c>
      <c r="Q178" t="str">
        <v/>
      </c>
      <c r="R178" t="str">
        <v/>
      </c>
    </row>
    <row r="179">
      <c r="A179">
        <v>45275</v>
      </c>
      <c r="B179" t="str">
        <v>Teve Interesse</v>
      </c>
      <c r="C179" t="str">
        <v/>
      </c>
      <c r="D179" t="str">
        <v>Tatiana | Litoral</v>
      </c>
      <c r="E179" t="str">
        <v>Televendas</v>
      </c>
      <c r="F179" t="str">
        <v>Litoral</v>
      </c>
      <c r="G179" t="str">
        <v>Franciele</v>
      </c>
      <c r="H179" t="str">
        <v>CAMPANHA AÇAÍ | 20-44 DIAS | REPRESENTANTES</v>
      </c>
      <c r="I179">
        <v>46209</v>
      </c>
      <c r="J179" t="str">
        <v>Não</v>
      </c>
      <c r="K179" t="str">
        <v/>
      </c>
      <c r="L179" t="str">
        <v/>
      </c>
      <c r="M179" t="str">
        <v/>
      </c>
      <c r="N179" t="str">
        <v/>
      </c>
      <c r="O179" t="str">
        <v/>
      </c>
      <c r="P179" t="str">
        <v/>
      </c>
      <c r="Q179" t="str">
        <v/>
      </c>
      <c r="R179" t="str">
        <v/>
      </c>
    </row>
    <row r="180">
      <c r="A180">
        <v>45678</v>
      </c>
      <c r="B180" t="str">
        <v>Teve Interesse</v>
      </c>
      <c r="C180">
        <v>9920</v>
      </c>
      <c r="D180" t="str">
        <v>Tiago Ayres</v>
      </c>
      <c r="E180" t="str">
        <v>Externo</v>
      </c>
      <c r="F180" t="str">
        <v>Sul</v>
      </c>
      <c r="G180" t="str">
        <v>Moizes</v>
      </c>
      <c r="H180" t="str">
        <v>CAMPANHA AÇAÍ | 20-44 DIAS | REPRESENTANTES</v>
      </c>
      <c r="I180">
        <v>46209</v>
      </c>
      <c r="J180" t="str">
        <v>Não</v>
      </c>
      <c r="K180" t="str">
        <v/>
      </c>
      <c r="L180" t="str">
        <v/>
      </c>
      <c r="M180" t="str">
        <v/>
      </c>
      <c r="N180" t="str">
        <v/>
      </c>
      <c r="O180" t="str">
        <v/>
      </c>
      <c r="P180" t="str">
        <v/>
      </c>
      <c r="Q180" t="str">
        <v/>
      </c>
      <c r="R180" t="str">
        <v/>
      </c>
    </row>
    <row r="181">
      <c r="A181">
        <v>11538</v>
      </c>
      <c r="B181" t="str">
        <v>Teve Interesse</v>
      </c>
      <c r="C181">
        <v>1575</v>
      </c>
      <c r="D181" t="str">
        <v>Jenifer Rodrigues</v>
      </c>
      <c r="E181" t="str">
        <v>Pré vendas</v>
      </c>
      <c r="F181" t="str">
        <v>Geral</v>
      </c>
      <c r="G181" t="str">
        <v>Franciele</v>
      </c>
      <c r="H181" t="str">
        <v>CAMPANHA CNPJ| 44-365 DIAS | TELEVENDAS</v>
      </c>
      <c r="I181">
        <v>46210</v>
      </c>
      <c r="J181" t="str">
        <v>Não</v>
      </c>
      <c r="K181" t="str">
        <v/>
      </c>
      <c r="L181" t="str">
        <v/>
      </c>
      <c r="M181" t="str">
        <v/>
      </c>
      <c r="N181" t="str">
        <v/>
      </c>
      <c r="O181" t="str">
        <v/>
      </c>
      <c r="P181" t="str">
        <v/>
      </c>
      <c r="Q181" t="str">
        <v/>
      </c>
      <c r="R181" t="str">
        <v/>
      </c>
    </row>
    <row r="182">
      <c r="A182">
        <v>27873</v>
      </c>
      <c r="B182" t="str">
        <v>Sem Interesse</v>
      </c>
      <c r="C182">
        <v>0</v>
      </c>
      <c r="D182" t="str">
        <v>Perdido</v>
      </c>
      <c r="E182" t="str">
        <v>Perdido</v>
      </c>
      <c r="F182" t="str">
        <v>Perdido</v>
      </c>
      <c r="G182" t="str">
        <v>Perdido</v>
      </c>
      <c r="H182" t="str">
        <v>CAMPANHA CNPJ| 44-365 DIAS | TELEVENDAS</v>
      </c>
      <c r="I182">
        <v>46210</v>
      </c>
      <c r="J182" t="str">
        <v>Não</v>
      </c>
      <c r="K182" t="str">
        <v/>
      </c>
      <c r="L182" t="str">
        <v/>
      </c>
      <c r="M182" t="str">
        <v/>
      </c>
      <c r="N182" t="str">
        <v/>
      </c>
      <c r="O182" t="str">
        <v/>
      </c>
      <c r="P182" t="str">
        <v/>
      </c>
      <c r="Q182" t="str">
        <v/>
      </c>
      <c r="R182" t="str">
        <v/>
      </c>
    </row>
    <row r="183">
      <c r="A183">
        <v>33796</v>
      </c>
      <c r="B183" t="str">
        <v>Teve Interesse</v>
      </c>
      <c r="C183">
        <v>1575</v>
      </c>
      <c r="D183" t="str">
        <v>Jenifer Rodrigues</v>
      </c>
      <c r="E183" t="str">
        <v>Pré vendas</v>
      </c>
      <c r="F183" t="str">
        <v>Geral</v>
      </c>
      <c r="G183" t="str">
        <v>Franciele</v>
      </c>
      <c r="H183" t="str">
        <v>CAMPANHA CNPJ| 44-365 DIAS | TELEVENDAS</v>
      </c>
      <c r="I183">
        <v>46210</v>
      </c>
      <c r="J183" t="str">
        <v>Não</v>
      </c>
      <c r="K183" t="str">
        <v/>
      </c>
      <c r="L183" t="str">
        <v/>
      </c>
      <c r="M183" t="str">
        <v/>
      </c>
      <c r="N183" t="str">
        <v/>
      </c>
      <c r="O183" t="str">
        <v/>
      </c>
      <c r="P183" t="str">
        <v/>
      </c>
      <c r="Q183" t="str">
        <v/>
      </c>
      <c r="R183" t="str">
        <v/>
      </c>
    </row>
    <row r="184">
      <c r="A184">
        <v>35337</v>
      </c>
      <c r="B184" t="str">
        <v>Teve Interesse</v>
      </c>
      <c r="C184">
        <v>1575</v>
      </c>
      <c r="D184" t="str">
        <v>Jenifer Rodrigues</v>
      </c>
      <c r="E184" t="str">
        <v>Pré vendas</v>
      </c>
      <c r="F184" t="str">
        <v>Geral</v>
      </c>
      <c r="G184" t="str">
        <v>Franciele</v>
      </c>
      <c r="H184" t="str">
        <v>CAMPANHA CNPJ| 44-365 DIAS | TELEVENDAS</v>
      </c>
      <c r="I184">
        <v>46210</v>
      </c>
      <c r="J184" t="str">
        <v>Não</v>
      </c>
      <c r="K184" t="str">
        <v/>
      </c>
      <c r="L184" t="str">
        <v/>
      </c>
      <c r="M184" t="str">
        <v/>
      </c>
      <c r="N184" t="str">
        <v/>
      </c>
      <c r="O184" t="str">
        <v/>
      </c>
      <c r="P184" t="str">
        <v/>
      </c>
      <c r="Q184" t="str">
        <v/>
      </c>
      <c r="R184" t="str">
        <v/>
      </c>
    </row>
    <row r="185">
      <c r="A185">
        <v>36702</v>
      </c>
      <c r="B185" t="str">
        <v>Teve Interesse</v>
      </c>
      <c r="C185">
        <v>1575</v>
      </c>
      <c r="D185" t="str">
        <v>Jenifer Rodrigues</v>
      </c>
      <c r="E185" t="str">
        <v>Pré vendas</v>
      </c>
      <c r="F185" t="str">
        <v>Geral</v>
      </c>
      <c r="G185" t="str">
        <v>Franciele</v>
      </c>
      <c r="H185" t="str">
        <v>CAMPANHA CNPJ| 44-365 DIAS | TELEVENDAS</v>
      </c>
      <c r="I185">
        <v>46210</v>
      </c>
      <c r="J185" t="str">
        <v>Não</v>
      </c>
      <c r="K185" t="str">
        <v/>
      </c>
      <c r="L185" t="str">
        <v/>
      </c>
      <c r="M185" t="str">
        <v/>
      </c>
      <c r="N185" t="str">
        <v/>
      </c>
      <c r="O185" t="str">
        <v/>
      </c>
      <c r="P185" t="str">
        <v/>
      </c>
      <c r="Q185" t="str">
        <v/>
      </c>
      <c r="R185" t="str">
        <v/>
      </c>
    </row>
    <row r="186">
      <c r="A186">
        <v>38651</v>
      </c>
      <c r="B186" t="str">
        <v>Sem Interesse</v>
      </c>
      <c r="C186">
        <v>0</v>
      </c>
      <c r="D186" t="str">
        <v>Perdido</v>
      </c>
      <c r="E186" t="str">
        <v>Perdido</v>
      </c>
      <c r="F186" t="str">
        <v>Perdido</v>
      </c>
      <c r="G186" t="str">
        <v>Perdido</v>
      </c>
      <c r="H186" t="str">
        <v>CAMPANHA CNPJ| 44-365 DIAS | TELEVENDAS</v>
      </c>
      <c r="I186">
        <v>46210</v>
      </c>
      <c r="J186" t="str">
        <v>Não</v>
      </c>
      <c r="K186" t="str">
        <v/>
      </c>
      <c r="L186" t="str">
        <v/>
      </c>
      <c r="M186" t="str">
        <v/>
      </c>
      <c r="N186" t="str">
        <v/>
      </c>
      <c r="O186" t="str">
        <v/>
      </c>
      <c r="P186" t="str">
        <v/>
      </c>
      <c r="Q186" t="str">
        <v/>
      </c>
      <c r="R186" t="str">
        <v/>
      </c>
    </row>
    <row r="187">
      <c r="A187">
        <v>39661</v>
      </c>
      <c r="B187" t="str">
        <v>Teve Interesse</v>
      </c>
      <c r="C187">
        <v>1575</v>
      </c>
      <c r="D187" t="str">
        <v>Jenifer Rodrigues</v>
      </c>
      <c r="E187" t="str">
        <v>Pré vendas</v>
      </c>
      <c r="F187" t="str">
        <v>Geral</v>
      </c>
      <c r="G187" t="str">
        <v>Franciele</v>
      </c>
      <c r="H187" t="str">
        <v>CAMPANHA CNPJ| 44-365 DIAS | TELEVENDAS</v>
      </c>
      <c r="I187">
        <v>46210</v>
      </c>
      <c r="J187" t="str">
        <v>Não</v>
      </c>
      <c r="K187" t="str">
        <v/>
      </c>
      <c r="L187" t="str">
        <v/>
      </c>
      <c r="M187" t="str">
        <v/>
      </c>
      <c r="N187" t="str">
        <v/>
      </c>
      <c r="O187" t="str">
        <v/>
      </c>
      <c r="P187" t="str">
        <v/>
      </c>
      <c r="Q187" t="str">
        <v/>
      </c>
      <c r="R187" t="str">
        <v/>
      </c>
    </row>
    <row r="188">
      <c r="A188">
        <v>40009</v>
      </c>
      <c r="B188" t="str">
        <v>Teve Interesse</v>
      </c>
      <c r="C188">
        <v>1575</v>
      </c>
      <c r="D188" t="str">
        <v>Jenifer Rodrigues</v>
      </c>
      <c r="E188" t="str">
        <v>Pré vendas</v>
      </c>
      <c r="F188" t="str">
        <v>Geral</v>
      </c>
      <c r="G188" t="str">
        <v>Franciele</v>
      </c>
      <c r="H188" t="str">
        <v>CAMPANHA CNPJ| 44-365 DIAS | TELEVENDAS</v>
      </c>
      <c r="I188">
        <v>46210</v>
      </c>
      <c r="J188" t="str">
        <v>Não</v>
      </c>
      <c r="K188" t="str">
        <v/>
      </c>
      <c r="L188" t="str">
        <v/>
      </c>
      <c r="M188" t="str">
        <v/>
      </c>
      <c r="N188" t="str">
        <v/>
      </c>
      <c r="O188" t="str">
        <v/>
      </c>
      <c r="P188" t="str">
        <v/>
      </c>
      <c r="Q188" t="str">
        <v/>
      </c>
      <c r="R188" t="str">
        <v/>
      </c>
    </row>
    <row r="189">
      <c r="A189">
        <v>41007</v>
      </c>
      <c r="B189" t="str">
        <v>Sem Interesse</v>
      </c>
      <c r="C189">
        <v>0</v>
      </c>
      <c r="D189" t="str">
        <v>Perdido</v>
      </c>
      <c r="E189" t="str">
        <v>Perdido</v>
      </c>
      <c r="F189" t="str">
        <v>Perdido</v>
      </c>
      <c r="G189" t="str">
        <v>Perdido</v>
      </c>
      <c r="H189" t="str">
        <v>CAMPANHA CNPJ| 44-365 DIAS | TELEVENDAS</v>
      </c>
      <c r="I189">
        <v>46210</v>
      </c>
      <c r="J189" t="str">
        <v>Não</v>
      </c>
      <c r="K189" t="str">
        <v/>
      </c>
      <c r="L189" t="str">
        <v/>
      </c>
      <c r="M189" t="str">
        <v/>
      </c>
      <c r="N189" t="str">
        <v/>
      </c>
      <c r="O189" t="str">
        <v/>
      </c>
      <c r="P189" t="str">
        <v/>
      </c>
      <c r="Q189" t="str">
        <v/>
      </c>
      <c r="R189" t="str">
        <v/>
      </c>
    </row>
    <row r="190">
      <c r="A190">
        <v>41120</v>
      </c>
      <c r="B190" t="str">
        <v>Teve Interesse</v>
      </c>
      <c r="C190">
        <v>1575</v>
      </c>
      <c r="D190" t="str">
        <v>Jenifer Rodrigues</v>
      </c>
      <c r="E190" t="str">
        <v>Pré vendas</v>
      </c>
      <c r="F190" t="str">
        <v>Geral</v>
      </c>
      <c r="G190" t="str">
        <v>Franciele</v>
      </c>
      <c r="H190" t="str">
        <v>CAMPANHA CNPJ| 44-365 DIAS | TELEVENDAS</v>
      </c>
      <c r="I190">
        <v>46210</v>
      </c>
      <c r="J190" t="str">
        <v>Não</v>
      </c>
      <c r="K190" t="str">
        <v/>
      </c>
      <c r="L190" t="str">
        <v/>
      </c>
      <c r="M190" t="str">
        <v/>
      </c>
      <c r="N190" t="str">
        <v/>
      </c>
      <c r="O190" t="str">
        <v/>
      </c>
      <c r="P190" t="str">
        <v/>
      </c>
      <c r="Q190" t="str">
        <v/>
      </c>
      <c r="R190" t="str">
        <v/>
      </c>
    </row>
    <row r="191">
      <c r="A191">
        <v>41331</v>
      </c>
      <c r="B191" t="str">
        <v>Teve Interesse</v>
      </c>
      <c r="C191">
        <v>1575</v>
      </c>
      <c r="D191" t="str">
        <v>Jenifer Rodrigues</v>
      </c>
      <c r="E191" t="str">
        <v>Pré vendas</v>
      </c>
      <c r="F191" t="str">
        <v>Geral</v>
      </c>
      <c r="G191" t="str">
        <v>Franciele</v>
      </c>
      <c r="H191" t="str">
        <v>CAMPANHA CNPJ| 44-365 DIAS | TELEVENDAS</v>
      </c>
      <c r="I191">
        <v>46210</v>
      </c>
      <c r="J191" t="str">
        <v>Não</v>
      </c>
      <c r="K191" t="str">
        <v/>
      </c>
      <c r="L191" t="str">
        <v/>
      </c>
      <c r="M191" t="str">
        <v/>
      </c>
      <c r="N191" t="str">
        <v/>
      </c>
      <c r="O191" t="str">
        <v/>
      </c>
      <c r="P191" t="str">
        <v/>
      </c>
      <c r="Q191" t="str">
        <v/>
      </c>
      <c r="R191" t="str">
        <v/>
      </c>
    </row>
    <row r="192">
      <c r="A192">
        <v>41729</v>
      </c>
      <c r="B192" t="str">
        <v>Teve Interesse</v>
      </c>
      <c r="C192">
        <v>1575</v>
      </c>
      <c r="D192" t="str">
        <v>Jenifer Rodrigues</v>
      </c>
      <c r="E192" t="str">
        <v>Pré vendas</v>
      </c>
      <c r="F192" t="str">
        <v>Geral</v>
      </c>
      <c r="G192" t="str">
        <v>Franciele</v>
      </c>
      <c r="H192" t="str">
        <v>CAMPANHA CNPJ| 44-365 DIAS | TELEVENDAS</v>
      </c>
      <c r="I192">
        <v>46210</v>
      </c>
      <c r="J192" t="str">
        <v>Não</v>
      </c>
      <c r="K192" t="str">
        <v/>
      </c>
      <c r="L192" t="str">
        <v/>
      </c>
      <c r="M192" t="str">
        <v/>
      </c>
      <c r="N192" t="str">
        <v/>
      </c>
      <c r="O192" t="str">
        <v/>
      </c>
      <c r="P192" t="str">
        <v/>
      </c>
      <c r="Q192" t="str">
        <v/>
      </c>
      <c r="R192" t="str">
        <v/>
      </c>
    </row>
    <row r="193">
      <c r="A193">
        <v>41880</v>
      </c>
      <c r="B193" t="str">
        <v>Teve Interesse</v>
      </c>
      <c r="C193">
        <v>1575</v>
      </c>
      <c r="D193" t="str">
        <v>Jenifer Rodrigues</v>
      </c>
      <c r="E193" t="str">
        <v>Pré vendas</v>
      </c>
      <c r="F193" t="str">
        <v>Geral</v>
      </c>
      <c r="G193" t="str">
        <v>Franciele</v>
      </c>
      <c r="H193" t="str">
        <v>CAMPANHA CNPJ| 44-365 DIAS | TELEVENDAS</v>
      </c>
      <c r="I193">
        <v>46210</v>
      </c>
      <c r="J193" t="str">
        <v>Não</v>
      </c>
      <c r="K193" t="str">
        <v/>
      </c>
      <c r="L193" t="str">
        <v/>
      </c>
      <c r="M193" t="str">
        <v/>
      </c>
      <c r="N193" t="str">
        <v/>
      </c>
      <c r="O193" t="str">
        <v/>
      </c>
      <c r="P193" t="str">
        <v/>
      </c>
      <c r="Q193" t="str">
        <v/>
      </c>
      <c r="R193" t="str">
        <v/>
      </c>
    </row>
    <row r="194">
      <c r="A194">
        <v>42237</v>
      </c>
      <c r="B194" t="str">
        <v>Sem Interesse</v>
      </c>
      <c r="C194">
        <v>0</v>
      </c>
      <c r="D194" t="str">
        <v>Perdido</v>
      </c>
      <c r="E194" t="str">
        <v>Perdido</v>
      </c>
      <c r="F194" t="str">
        <v>Perdido</v>
      </c>
      <c r="G194" t="str">
        <v>Perdido</v>
      </c>
      <c r="H194" t="str">
        <v>CAMPANHA CNPJ| 44-365 DIAS | TELEVENDAS</v>
      </c>
      <c r="I194">
        <v>46210</v>
      </c>
      <c r="J194" t="str">
        <v>Não</v>
      </c>
      <c r="K194" t="str">
        <v/>
      </c>
      <c r="L194" t="str">
        <v/>
      </c>
      <c r="M194" t="str">
        <v/>
      </c>
      <c r="N194" t="str">
        <v/>
      </c>
      <c r="O194" t="str">
        <v/>
      </c>
      <c r="P194" t="str">
        <v/>
      </c>
      <c r="Q194" t="str">
        <v/>
      </c>
      <c r="R194" t="str">
        <v/>
      </c>
    </row>
    <row r="195">
      <c r="A195">
        <v>43093</v>
      </c>
      <c r="B195" t="str">
        <v>Sem Interesse</v>
      </c>
      <c r="C195">
        <v>0</v>
      </c>
      <c r="D195" t="str">
        <v>Perdido</v>
      </c>
      <c r="E195" t="str">
        <v>Perdido</v>
      </c>
      <c r="F195" t="str">
        <v>Perdido</v>
      </c>
      <c r="G195" t="str">
        <v>Perdido</v>
      </c>
      <c r="H195" t="str">
        <v>CAMPANHA CNPJ| 44-365 DIAS | TELEVENDAS</v>
      </c>
      <c r="I195">
        <v>46210</v>
      </c>
      <c r="J195" t="str">
        <v>Não</v>
      </c>
      <c r="K195" t="str">
        <v/>
      </c>
      <c r="L195" t="str">
        <v/>
      </c>
      <c r="M195" t="str">
        <v/>
      </c>
      <c r="N195" t="str">
        <v/>
      </c>
      <c r="O195" t="str">
        <v/>
      </c>
      <c r="P195" t="str">
        <v/>
      </c>
      <c r="Q195" t="str">
        <v/>
      </c>
      <c r="R195" t="str">
        <v/>
      </c>
    </row>
    <row r="196">
      <c r="A196">
        <v>43289</v>
      </c>
      <c r="B196" t="str">
        <v>Teve Interesse</v>
      </c>
      <c r="C196">
        <v>1464</v>
      </c>
      <c r="D196" t="str">
        <v>Camila Arruda</v>
      </c>
      <c r="E196" t="str">
        <v>Televendas</v>
      </c>
      <c r="F196" t="str">
        <v>Sul</v>
      </c>
      <c r="G196" t="str">
        <v>Franciele</v>
      </c>
      <c r="H196" t="str">
        <v>CAMPANHA CNPJ| 44-365 DIAS | TELEVENDAS</v>
      </c>
      <c r="I196">
        <v>46210</v>
      </c>
      <c r="J196" t="str">
        <v>Não</v>
      </c>
      <c r="K196" t="str">
        <v/>
      </c>
      <c r="L196" t="str">
        <v/>
      </c>
      <c r="M196" t="str">
        <v/>
      </c>
      <c r="N196" t="str">
        <v/>
      </c>
      <c r="O196" t="str">
        <v/>
      </c>
      <c r="P196" t="str">
        <v/>
      </c>
      <c r="Q196" t="str">
        <v/>
      </c>
      <c r="R196" t="str">
        <v/>
      </c>
    </row>
    <row r="197">
      <c r="A197">
        <v>35940</v>
      </c>
      <c r="B197" t="str">
        <v>Teve Interesse</v>
      </c>
      <c r="C197">
        <v>1575</v>
      </c>
      <c r="D197" t="str">
        <v>Jenifer Rodrigues</v>
      </c>
      <c r="E197" t="str">
        <v>Pré vendas</v>
      </c>
      <c r="F197" t="str">
        <v>Geral</v>
      </c>
      <c r="G197" t="str">
        <v>Franciele</v>
      </c>
      <c r="H197" t="str">
        <v>CAMPANHA CNPJ| 45-400 DIAS | TELEVENDAS</v>
      </c>
      <c r="I197">
        <v>46211</v>
      </c>
      <c r="J197" t="str">
        <v>Não</v>
      </c>
      <c r="K197" t="str">
        <v/>
      </c>
      <c r="L197" t="str">
        <v/>
      </c>
      <c r="M197" t="str">
        <v/>
      </c>
      <c r="N197" t="str">
        <v/>
      </c>
      <c r="O197" t="str">
        <v/>
      </c>
      <c r="P197" t="str">
        <v/>
      </c>
      <c r="Q197" t="str">
        <v/>
      </c>
      <c r="R197" t="str">
        <v/>
      </c>
    </row>
    <row r="198">
      <c r="A198">
        <v>36075</v>
      </c>
      <c r="B198" t="str">
        <v>Teve Interesse</v>
      </c>
      <c r="C198">
        <v>1575</v>
      </c>
      <c r="D198" t="str">
        <v>Jenifer Rodrigues</v>
      </c>
      <c r="E198" t="str">
        <v>Pré vendas</v>
      </c>
      <c r="F198" t="str">
        <v>Geral</v>
      </c>
      <c r="G198" t="str">
        <v>Franciele</v>
      </c>
      <c r="H198" t="str">
        <v>CAMPANHA CNPJ| 45-400 DIAS | TELEVENDAS</v>
      </c>
      <c r="I198">
        <v>46211</v>
      </c>
      <c r="J198" t="str">
        <v>Não</v>
      </c>
      <c r="K198" t="str">
        <v/>
      </c>
      <c r="L198" t="str">
        <v/>
      </c>
      <c r="M198" t="str">
        <v/>
      </c>
      <c r="N198" t="str">
        <v/>
      </c>
      <c r="O198" t="str">
        <v/>
      </c>
      <c r="P198" t="str">
        <v/>
      </c>
      <c r="Q198" t="str">
        <v/>
      </c>
      <c r="R198" t="str">
        <v/>
      </c>
    </row>
    <row r="199">
      <c r="A199">
        <v>39734</v>
      </c>
      <c r="B199" t="str">
        <v>Sem Interesse</v>
      </c>
      <c r="C199">
        <v>0</v>
      </c>
      <c r="D199" t="str">
        <v>Perdido</v>
      </c>
      <c r="E199" t="str">
        <v>Perdido</v>
      </c>
      <c r="F199" t="str">
        <v>Perdido</v>
      </c>
      <c r="G199" t="str">
        <v>Perdido</v>
      </c>
      <c r="H199" t="str">
        <v>CAMPANHA CNPJ| 45-400 DIAS | TELEVENDAS</v>
      </c>
      <c r="I199">
        <v>46211</v>
      </c>
      <c r="J199" t="str">
        <v>Não</v>
      </c>
      <c r="K199" t="str">
        <v/>
      </c>
      <c r="L199" t="str">
        <v/>
      </c>
      <c r="M199" t="str">
        <v/>
      </c>
      <c r="N199" t="str">
        <v/>
      </c>
      <c r="O199" t="str">
        <v/>
      </c>
      <c r="P199" t="str">
        <v/>
      </c>
      <c r="Q199" t="str">
        <v/>
      </c>
      <c r="R199" t="str">
        <v/>
      </c>
    </row>
    <row r="200">
      <c r="A200">
        <v>40333</v>
      </c>
      <c r="B200" t="str">
        <v>Sem Interesse</v>
      </c>
      <c r="C200">
        <v>0</v>
      </c>
      <c r="D200" t="str">
        <v>Perdido</v>
      </c>
      <c r="E200" t="str">
        <v>Perdido</v>
      </c>
      <c r="F200" t="str">
        <v>Perdido</v>
      </c>
      <c r="G200" t="str">
        <v>Perdido</v>
      </c>
      <c r="H200" t="str">
        <v>CAMPANHA CNPJ| 20 -44 DIAS | ATIVOS</v>
      </c>
      <c r="I200">
        <v>46211</v>
      </c>
      <c r="J200" t="str">
        <v>Não</v>
      </c>
      <c r="K200" t="str">
        <v/>
      </c>
      <c r="L200" t="str">
        <v/>
      </c>
      <c r="M200" t="str">
        <v/>
      </c>
      <c r="N200" t="str">
        <v/>
      </c>
      <c r="O200" t="str">
        <v/>
      </c>
      <c r="P200" t="str">
        <v/>
      </c>
      <c r="Q200" t="str">
        <v/>
      </c>
      <c r="R200" t="str">
        <v/>
      </c>
    </row>
    <row r="201">
      <c r="A201">
        <v>40362</v>
      </c>
      <c r="B201" t="str">
        <v>Teve Interesse</v>
      </c>
      <c r="C201">
        <v>1278</v>
      </c>
      <c r="D201" t="str">
        <v>Moacir Lopes</v>
      </c>
      <c r="E201" t="str">
        <v>Externo</v>
      </c>
      <c r="F201" t="str">
        <v>Grande POA</v>
      </c>
      <c r="G201" t="str">
        <v>Juliano</v>
      </c>
      <c r="H201" t="str">
        <v>CAMPANHA CNPJ| 20 -44 DIAS | ATIVOS</v>
      </c>
      <c r="I201">
        <v>46211</v>
      </c>
      <c r="J201" t="str">
        <v>Não</v>
      </c>
      <c r="K201" t="str">
        <v/>
      </c>
      <c r="L201" t="str">
        <v/>
      </c>
      <c r="M201" t="str">
        <v/>
      </c>
      <c r="N201" t="str">
        <v/>
      </c>
      <c r="O201" t="str">
        <v/>
      </c>
      <c r="P201" t="str">
        <v/>
      </c>
      <c r="Q201" t="str">
        <v/>
      </c>
      <c r="R201" t="str">
        <v/>
      </c>
    </row>
    <row r="202">
      <c r="A202">
        <v>42112</v>
      </c>
      <c r="B202" t="str">
        <v>Teve Interesse</v>
      </c>
      <c r="C202">
        <v>1575</v>
      </c>
      <c r="D202" t="str">
        <v>Jenifer Rodrigues</v>
      </c>
      <c r="E202" t="str">
        <v>Pré vendas</v>
      </c>
      <c r="F202" t="str">
        <v>Geral</v>
      </c>
      <c r="G202" t="str">
        <v>Franciele</v>
      </c>
      <c r="H202" t="str">
        <v>CAMPANHA CNPJ| 45-400 DIAS | TELEVENDAS</v>
      </c>
      <c r="I202">
        <v>46211</v>
      </c>
      <c r="J202" t="str">
        <v>Não</v>
      </c>
      <c r="K202" t="str">
        <v/>
      </c>
      <c r="L202" t="str">
        <v/>
      </c>
      <c r="M202" t="str">
        <v/>
      </c>
      <c r="N202" t="str">
        <v/>
      </c>
      <c r="O202" t="str">
        <v/>
      </c>
      <c r="P202" t="str">
        <v/>
      </c>
      <c r="Q202" t="str">
        <v/>
      </c>
      <c r="R202" t="str">
        <v/>
      </c>
    </row>
    <row r="203">
      <c r="A203">
        <v>42292</v>
      </c>
      <c r="B203" t="str">
        <v>Teve Interesse</v>
      </c>
      <c r="C203">
        <v>1575</v>
      </c>
      <c r="D203" t="str">
        <v>Jenifer Rodrigues</v>
      </c>
      <c r="E203" t="str">
        <v>Pré vendas</v>
      </c>
      <c r="F203" t="str">
        <v>Geral</v>
      </c>
      <c r="G203" t="str">
        <v>Franciele</v>
      </c>
      <c r="H203" t="str">
        <v>CAMPANHA CNPJ| 45-400 DIAS | TELEVENDAS</v>
      </c>
      <c r="I203">
        <v>46211</v>
      </c>
      <c r="J203" t="str">
        <v>Não</v>
      </c>
      <c r="K203" t="str">
        <v/>
      </c>
      <c r="L203" t="str">
        <v/>
      </c>
      <c r="M203" t="str">
        <v/>
      </c>
      <c r="N203" t="str">
        <v/>
      </c>
      <c r="O203" t="str">
        <v/>
      </c>
      <c r="P203" t="str">
        <v/>
      </c>
      <c r="Q203" t="str">
        <v/>
      </c>
      <c r="R203" t="str">
        <v/>
      </c>
    </row>
    <row r="204">
      <c r="A204">
        <v>43111</v>
      </c>
      <c r="B204" t="str">
        <v>Teve Interesse</v>
      </c>
      <c r="C204">
        <v>1575</v>
      </c>
      <c r="D204" t="str">
        <v>Jenifer Rodrigues</v>
      </c>
      <c r="E204" t="str">
        <v>Pré vendas</v>
      </c>
      <c r="F204" t="str">
        <v>Geral</v>
      </c>
      <c r="G204" t="str">
        <v>Franciele</v>
      </c>
      <c r="H204" t="str">
        <v>CAMPANHA CNPJ| 45-400 DIAS | TELEVENDAS</v>
      </c>
      <c r="I204">
        <v>46211</v>
      </c>
      <c r="J204" t="str">
        <v>Não</v>
      </c>
      <c r="K204" t="str">
        <v/>
      </c>
      <c r="L204" t="str">
        <v/>
      </c>
      <c r="M204" t="str">
        <v/>
      </c>
      <c r="N204" t="str">
        <v/>
      </c>
      <c r="O204" t="str">
        <v/>
      </c>
      <c r="P204" t="str">
        <v/>
      </c>
      <c r="Q204" t="str">
        <v/>
      </c>
      <c r="R204" t="str">
        <v/>
      </c>
    </row>
    <row r="205">
      <c r="A205">
        <v>43386</v>
      </c>
      <c r="B205" t="str">
        <v>Sem Interesse</v>
      </c>
      <c r="C205">
        <v>0</v>
      </c>
      <c r="D205" t="str">
        <v>Perdido</v>
      </c>
      <c r="E205" t="str">
        <v>Perdido</v>
      </c>
      <c r="F205" t="str">
        <v>Perdido</v>
      </c>
      <c r="G205" t="str">
        <v>Perdido</v>
      </c>
      <c r="H205" t="str">
        <v>CAMPANHA CNPJ| 45-400 DIAS | TELEVENDAS</v>
      </c>
      <c r="I205">
        <v>46211</v>
      </c>
      <c r="J205" t="str">
        <v>Não</v>
      </c>
      <c r="K205" t="str">
        <v/>
      </c>
      <c r="L205" t="str">
        <v/>
      </c>
      <c r="M205" t="str">
        <v/>
      </c>
      <c r="N205" t="str">
        <v/>
      </c>
      <c r="O205" t="str">
        <v/>
      </c>
      <c r="P205" t="str">
        <v/>
      </c>
      <c r="Q205" t="str">
        <v/>
      </c>
      <c r="R205" t="str">
        <v/>
      </c>
    </row>
    <row r="206">
      <c r="A206">
        <v>43434</v>
      </c>
      <c r="B206" t="str">
        <v>Teve Interesse</v>
      </c>
      <c r="C206">
        <v>1575</v>
      </c>
      <c r="D206" t="str">
        <v>Jenifer Rodrigues</v>
      </c>
      <c r="E206" t="str">
        <v>Pré vendas</v>
      </c>
      <c r="F206" t="str">
        <v>Geral</v>
      </c>
      <c r="G206" t="str">
        <v>Franciele</v>
      </c>
      <c r="H206" t="str">
        <v>CAMPANHA CNPJ| 45-400 DIAS | TELEVENDAS</v>
      </c>
      <c r="I206">
        <v>46211</v>
      </c>
      <c r="J206" t="str">
        <v>Não</v>
      </c>
      <c r="K206" t="str">
        <v/>
      </c>
      <c r="L206" t="str">
        <v/>
      </c>
      <c r="M206" t="str">
        <v/>
      </c>
      <c r="N206" t="str">
        <v/>
      </c>
      <c r="O206" t="str">
        <v/>
      </c>
      <c r="P206" t="str">
        <v/>
      </c>
      <c r="Q206" t="str">
        <v/>
      </c>
      <c r="R206" t="str">
        <v/>
      </c>
    </row>
    <row r="207">
      <c r="A207">
        <v>44663</v>
      </c>
      <c r="B207" t="str">
        <v>Teve Interesse</v>
      </c>
      <c r="C207" t="str">
        <v/>
      </c>
      <c r="D207" t="str">
        <v>Larissa de Moura</v>
      </c>
      <c r="E207" t="str">
        <v>Externo</v>
      </c>
      <c r="F207" t="str">
        <v>Sul</v>
      </c>
      <c r="G207" t="str">
        <v>Moizes</v>
      </c>
      <c r="H207" t="str">
        <v>CAMPANHA CNPJ| 20 -44 DIAS | ATIVOS</v>
      </c>
      <c r="I207">
        <v>46211</v>
      </c>
      <c r="J207" t="str">
        <v>Não</v>
      </c>
      <c r="K207" t="str">
        <v/>
      </c>
      <c r="L207" t="str">
        <v/>
      </c>
      <c r="M207" t="str">
        <v/>
      </c>
      <c r="N207" t="str">
        <v/>
      </c>
      <c r="O207" t="str">
        <v/>
      </c>
      <c r="P207" t="str">
        <v/>
      </c>
      <c r="Q207" t="str">
        <v/>
      </c>
      <c r="R207" t="str">
        <v/>
      </c>
    </row>
    <row r="208">
      <c r="A208">
        <v>45117</v>
      </c>
      <c r="B208" t="str">
        <v>Teve Interesse</v>
      </c>
      <c r="C208">
        <v>1623</v>
      </c>
      <c r="D208" t="str">
        <v>Wagner da Silva</v>
      </c>
      <c r="E208" t="str">
        <v>Externo</v>
      </c>
      <c r="F208" t="str">
        <v>Vale dos Sinos</v>
      </c>
      <c r="G208" t="str">
        <v>Leonardo</v>
      </c>
      <c r="H208" t="str">
        <v>CAMPANHA CNPJ| 20 -44 DIAS | ATIVOS</v>
      </c>
      <c r="I208">
        <v>46211</v>
      </c>
      <c r="J208" t="str">
        <v>Não</v>
      </c>
      <c r="K208" t="str">
        <v/>
      </c>
      <c r="L208" t="str">
        <v/>
      </c>
      <c r="M208" t="str">
        <v/>
      </c>
      <c r="N208" t="str">
        <v/>
      </c>
      <c r="O208" t="str">
        <v/>
      </c>
      <c r="P208" t="str">
        <v/>
      </c>
      <c r="Q208" t="str">
        <v/>
      </c>
      <c r="R208" t="str">
        <v/>
      </c>
    </row>
    <row r="209">
      <c r="A209">
        <v>39991</v>
      </c>
      <c r="B209" t="str">
        <v>Sem Interesse</v>
      </c>
      <c r="C209">
        <v>0</v>
      </c>
      <c r="D209" t="str">
        <v>Perdido</v>
      </c>
      <c r="E209" t="str">
        <v>Perdido</v>
      </c>
      <c r="F209" t="str">
        <v>Perdido</v>
      </c>
      <c r="G209" t="str">
        <v>Perdido</v>
      </c>
      <c r="H209" t="str">
        <v>CAMPANHA SUPER VOUCHER| 45-120 DIAS | TELEVENDAS</v>
      </c>
      <c r="I209">
        <v>46212</v>
      </c>
      <c r="J209" t="str">
        <v>Não</v>
      </c>
      <c r="K209" t="str">
        <v/>
      </c>
      <c r="L209" t="str">
        <v/>
      </c>
      <c r="M209" t="str">
        <v/>
      </c>
      <c r="N209" t="str">
        <v/>
      </c>
      <c r="O209" t="str">
        <v/>
      </c>
      <c r="P209" t="str">
        <v/>
      </c>
      <c r="Q209" t="str">
        <v/>
      </c>
      <c r="R209" t="str">
        <v/>
      </c>
    </row>
    <row r="210">
      <c r="A210">
        <v>24412</v>
      </c>
      <c r="B210" t="str">
        <v>Sem Interesse</v>
      </c>
      <c r="C210">
        <v>0</v>
      </c>
      <c r="D210" t="str">
        <v>Perdido</v>
      </c>
      <c r="E210" t="str">
        <v>Perdido</v>
      </c>
      <c r="F210" t="str">
        <v>Perdido</v>
      </c>
      <c r="G210" t="str">
        <v>Perdido</v>
      </c>
      <c r="H210" t="str">
        <v>CAMPANHA SUPER VOUCHER| 45-120 DIAS | TELEVENDAS</v>
      </c>
      <c r="I210">
        <v>46212</v>
      </c>
      <c r="J210" t="str">
        <v>Não</v>
      </c>
      <c r="K210" t="str">
        <v/>
      </c>
      <c r="L210" t="str">
        <v/>
      </c>
      <c r="M210" t="str">
        <v/>
      </c>
      <c r="N210" t="str">
        <v/>
      </c>
      <c r="O210" t="str">
        <v/>
      </c>
      <c r="P210" t="str">
        <v/>
      </c>
      <c r="Q210" t="str">
        <v/>
      </c>
      <c r="R210" t="str">
        <v/>
      </c>
    </row>
    <row r="211">
      <c r="A211">
        <v>45665</v>
      </c>
      <c r="B211" t="str">
        <v>Teve Interesse</v>
      </c>
      <c r="C211">
        <v>1273</v>
      </c>
      <c r="D211" t="str">
        <v>Bruno Santos</v>
      </c>
      <c r="E211" t="str">
        <v>Externo</v>
      </c>
      <c r="F211" t="str">
        <v>Litoral</v>
      </c>
      <c r="G211" t="str">
        <v>Muriel</v>
      </c>
      <c r="H211" t="str">
        <v>CAMPANHA SUPER VOUCHER| 45-120 DIAS | TELEVENDAS</v>
      </c>
      <c r="I211">
        <v>46212</v>
      </c>
      <c r="J211" t="str">
        <v>Não</v>
      </c>
      <c r="K211" t="str">
        <v/>
      </c>
      <c r="L211" t="str">
        <v/>
      </c>
      <c r="M211" t="str">
        <v/>
      </c>
      <c r="N211" t="str">
        <v/>
      </c>
      <c r="O211" t="str">
        <v/>
      </c>
      <c r="P211" t="str">
        <v/>
      </c>
      <c r="Q211" t="str">
        <v/>
      </c>
      <c r="R211" t="str">
        <v/>
      </c>
    </row>
    <row r="212">
      <c r="A212">
        <v>45469</v>
      </c>
      <c r="B212" t="str">
        <v>Teve Interesse</v>
      </c>
      <c r="C212">
        <v>9937</v>
      </c>
      <c r="D212" t="str">
        <v>Gislaine Muller</v>
      </c>
      <c r="E212" t="str">
        <v>Externo</v>
      </c>
      <c r="F212" t="str">
        <v>Vale dos Sinos</v>
      </c>
      <c r="G212" t="str">
        <v>Leonardo</v>
      </c>
      <c r="H212" t="str">
        <v>CAMPANHA SUPER VOUCHER| 45-120 DIAS | TELEVENDAS</v>
      </c>
      <c r="I212">
        <v>46212</v>
      </c>
      <c r="J212" t="str">
        <v>Não</v>
      </c>
      <c r="K212" t="str">
        <v/>
      </c>
      <c r="L212" t="str">
        <v/>
      </c>
      <c r="M212" t="str">
        <v/>
      </c>
      <c r="N212" t="str">
        <v/>
      </c>
      <c r="O212" t="str">
        <v/>
      </c>
      <c r="P212" t="str">
        <v/>
      </c>
      <c r="Q212" t="str">
        <v/>
      </c>
      <c r="R212" t="str">
        <v/>
      </c>
    </row>
    <row r="213">
      <c r="A213">
        <v>45591</v>
      </c>
      <c r="B213" t="str">
        <v>Teve Interesse</v>
      </c>
      <c r="C213">
        <v>1615</v>
      </c>
      <c r="D213" t="str">
        <v>Carlos Alberto</v>
      </c>
      <c r="E213" t="str">
        <v>Externo</v>
      </c>
      <c r="F213" t="str">
        <v>Sul</v>
      </c>
      <c r="G213" t="str">
        <v>Moizes</v>
      </c>
      <c r="H213" t="str">
        <v>CAMPANHA SUPER VOUCHER| 45-120 DIAS | TELEVENDAS</v>
      </c>
      <c r="I213">
        <v>46212</v>
      </c>
      <c r="J213" t="str">
        <v>Não</v>
      </c>
      <c r="K213" t="str">
        <v/>
      </c>
      <c r="L213" t="str">
        <v/>
      </c>
      <c r="M213" t="str">
        <v/>
      </c>
      <c r="N213" t="str">
        <v/>
      </c>
      <c r="O213" t="str">
        <v/>
      </c>
      <c r="P213" t="str">
        <v/>
      </c>
      <c r="Q213" t="str">
        <v/>
      </c>
      <c r="R213" t="str">
        <v/>
      </c>
    </row>
    <row r="214">
      <c r="A214">
        <v>37151</v>
      </c>
      <c r="B214" t="str">
        <v>Teve Interesse</v>
      </c>
      <c r="C214">
        <v>1211</v>
      </c>
      <c r="D214" t="str">
        <v>Cristielen da Silva</v>
      </c>
      <c r="E214" t="str">
        <v>Televendas</v>
      </c>
      <c r="F214" t="str">
        <v>Vale dos Sinos</v>
      </c>
      <c r="G214" t="str">
        <v>Franciele</v>
      </c>
      <c r="H214" t="str">
        <v>CAMPANHA SUPER VOUCHER| 45-120 DIAS | TELEVENDAS</v>
      </c>
      <c r="I214">
        <v>46212</v>
      </c>
      <c r="J214" t="str">
        <v>Não</v>
      </c>
      <c r="K214" t="str">
        <v/>
      </c>
      <c r="L214" t="str">
        <v/>
      </c>
      <c r="M214" t="str">
        <v/>
      </c>
      <c r="N214" t="str">
        <v/>
      </c>
      <c r="O214" t="str">
        <v/>
      </c>
      <c r="P214" t="str">
        <v/>
      </c>
      <c r="Q214" t="str">
        <v/>
      </c>
      <c r="R214" t="str">
        <v/>
      </c>
    </row>
    <row r="215">
      <c r="A215">
        <v>25598</v>
      </c>
      <c r="B215" t="str">
        <v>Sem Interesse</v>
      </c>
      <c r="C215">
        <v>0</v>
      </c>
      <c r="D215" t="str">
        <v>Perdido</v>
      </c>
      <c r="E215" t="str">
        <v>Perdido</v>
      </c>
      <c r="F215" t="str">
        <v>Perdido</v>
      </c>
      <c r="G215" t="str">
        <v>Perdido</v>
      </c>
      <c r="H215" t="str">
        <v>CAMPANHA SUPER VOUCHER| 45-120 DIAS | TELEVENDAS</v>
      </c>
      <c r="I215">
        <v>46212</v>
      </c>
      <c r="J215" t="str">
        <v>Não</v>
      </c>
      <c r="K215" t="str">
        <v/>
      </c>
      <c r="L215" t="str">
        <v/>
      </c>
      <c r="M215" t="str">
        <v/>
      </c>
      <c r="N215" t="str">
        <v/>
      </c>
      <c r="O215" t="str">
        <v/>
      </c>
      <c r="P215" t="str">
        <v/>
      </c>
      <c r="Q215" t="str">
        <v/>
      </c>
      <c r="R215" t="str">
        <v/>
      </c>
    </row>
    <row r="216">
      <c r="A216">
        <v>39096</v>
      </c>
      <c r="B216" t="str">
        <v>Sem Interesse</v>
      </c>
      <c r="C216">
        <v>0</v>
      </c>
      <c r="D216" t="str">
        <v>Perdido</v>
      </c>
      <c r="E216" t="str">
        <v>Perdido</v>
      </c>
      <c r="F216" t="str">
        <v>Perdido</v>
      </c>
      <c r="G216" t="str">
        <v>Perdido</v>
      </c>
      <c r="H216" t="str">
        <v>CAMPANHA SUPER VOUCHER| 45-120 DIAS | TELEVENDAS</v>
      </c>
      <c r="I216">
        <v>46212</v>
      </c>
      <c r="J216" t="str">
        <v>Não</v>
      </c>
      <c r="K216" t="str">
        <v/>
      </c>
      <c r="L216" t="str">
        <v/>
      </c>
      <c r="M216" t="str">
        <v/>
      </c>
      <c r="N216" t="str">
        <v/>
      </c>
      <c r="O216" t="str">
        <v/>
      </c>
      <c r="P216" t="str">
        <v/>
      </c>
      <c r="Q216" t="str">
        <v/>
      </c>
      <c r="R216" t="str">
        <v/>
      </c>
    </row>
    <row r="217">
      <c r="A217">
        <v>45304</v>
      </c>
      <c r="B217" t="str">
        <v>Teve Interesse</v>
      </c>
      <c r="C217">
        <v>1393</v>
      </c>
      <c r="D217" t="str">
        <v>Jose Carlos</v>
      </c>
      <c r="E217" t="str">
        <v>Externo</v>
      </c>
      <c r="F217" t="str">
        <v>Serra</v>
      </c>
      <c r="G217" t="str">
        <v>Jackson</v>
      </c>
      <c r="H217" t="str">
        <v>CAMPANHA SUPER VOUCHER| 45-120 DIAS | TELEVENDAS</v>
      </c>
      <c r="I217">
        <v>46212</v>
      </c>
      <c r="J217" t="str">
        <v>Não</v>
      </c>
      <c r="K217" t="str">
        <v/>
      </c>
      <c r="L217" t="str">
        <v/>
      </c>
      <c r="M217" t="str">
        <v/>
      </c>
      <c r="N217" t="str">
        <v/>
      </c>
      <c r="O217" t="str">
        <v/>
      </c>
      <c r="P217" t="str">
        <v/>
      </c>
      <c r="Q217" t="str">
        <v/>
      </c>
      <c r="R217" t="str">
        <v/>
      </c>
    </row>
    <row r="218">
      <c r="A218">
        <v>42285</v>
      </c>
      <c r="B218" t="str">
        <v>Teve Interesse</v>
      </c>
      <c r="C218">
        <v>1464</v>
      </c>
      <c r="D218" t="str">
        <v>Camila Arruda</v>
      </c>
      <c r="E218" t="str">
        <v>Televendas</v>
      </c>
      <c r="F218" t="str">
        <v>Sul</v>
      </c>
      <c r="G218" t="str">
        <v>Franciele</v>
      </c>
      <c r="H218" t="str">
        <v>CAMPANHA SUPER VOUCHER| 45-120 DIAS | TELEVENDAS</v>
      </c>
      <c r="I218">
        <v>46212</v>
      </c>
      <c r="J218" t="str">
        <v>Não</v>
      </c>
      <c r="K218" t="str">
        <v/>
      </c>
      <c r="L218" t="str">
        <v/>
      </c>
      <c r="M218" t="str">
        <v/>
      </c>
      <c r="N218" t="str">
        <v/>
      </c>
      <c r="O218" t="str">
        <v/>
      </c>
      <c r="P218" t="str">
        <v/>
      </c>
      <c r="Q218" t="str">
        <v/>
      </c>
      <c r="R218" t="str">
        <v/>
      </c>
    </row>
    <row r="219">
      <c r="A219">
        <v>41236</v>
      </c>
      <c r="B219" t="str">
        <v>Teve Interesse</v>
      </c>
      <c r="C219">
        <v>9911</v>
      </c>
      <c r="D219" t="str">
        <v>Jairo Costa</v>
      </c>
      <c r="E219" t="str">
        <v>Externo</v>
      </c>
      <c r="F219" t="str">
        <v>Sul</v>
      </c>
      <c r="G219" t="str">
        <v>Moizes</v>
      </c>
      <c r="H219" t="str">
        <v>CAMPANHA SUPER VOUCHER| 45-120 DIAS | TELEVENDAS</v>
      </c>
      <c r="I219">
        <v>46212</v>
      </c>
      <c r="J219" t="str">
        <v>Não</v>
      </c>
      <c r="K219" t="str">
        <v/>
      </c>
      <c r="L219" t="str">
        <v/>
      </c>
      <c r="M219" t="str">
        <v/>
      </c>
      <c r="N219" t="str">
        <v/>
      </c>
      <c r="O219" t="str">
        <v/>
      </c>
      <c r="P219" t="str">
        <v/>
      </c>
      <c r="Q219" t="str">
        <v/>
      </c>
      <c r="R219" t="str">
        <v/>
      </c>
    </row>
    <row r="220">
      <c r="A220">
        <v>35304</v>
      </c>
      <c r="B220" t="str">
        <v>Teve Interesse</v>
      </c>
      <c r="C220">
        <v>1319</v>
      </c>
      <c r="D220" t="str">
        <v>Victor Hugo</v>
      </c>
      <c r="E220" t="str">
        <v>Externo</v>
      </c>
      <c r="F220" t="str">
        <v>Vale dos Sinos</v>
      </c>
      <c r="G220" t="str">
        <v>Leonardo</v>
      </c>
      <c r="H220" t="str">
        <v>CAMPANHA SUPER VOUCHER| 45-120 DIAS | TELEVENDAS</v>
      </c>
      <c r="I220">
        <v>46212</v>
      </c>
      <c r="J220" t="str">
        <v>Não</v>
      </c>
      <c r="K220" t="str">
        <v/>
      </c>
      <c r="L220" t="str">
        <v/>
      </c>
      <c r="M220" t="str">
        <v/>
      </c>
      <c r="N220" t="str">
        <v/>
      </c>
      <c r="O220" t="str">
        <v/>
      </c>
      <c r="P220" t="str">
        <v/>
      </c>
      <c r="Q220" t="str">
        <v/>
      </c>
      <c r="R220" t="str">
        <v/>
      </c>
    </row>
    <row r="221">
      <c r="A221">
        <v>42360</v>
      </c>
      <c r="B221" t="str">
        <v>Teve Interesse</v>
      </c>
      <c r="C221">
        <v>1623</v>
      </c>
      <c r="D221" t="str">
        <v>Wagner da Silva</v>
      </c>
      <c r="E221" t="str">
        <v>Externo</v>
      </c>
      <c r="F221" t="str">
        <v>Vale dos Sinos</v>
      </c>
      <c r="G221" t="str">
        <v>Leonardo</v>
      </c>
      <c r="H221" t="str">
        <v>CAMPANHA SUPER VOUCHER| 45-120 DIAS | TELEVENDAS</v>
      </c>
      <c r="I221">
        <v>46212</v>
      </c>
      <c r="J221" t="str">
        <v>Não</v>
      </c>
      <c r="K221" t="str">
        <v/>
      </c>
      <c r="L221" t="str">
        <v/>
      </c>
      <c r="M221" t="str">
        <v/>
      </c>
      <c r="N221" t="str">
        <v/>
      </c>
      <c r="O221" t="str">
        <v/>
      </c>
      <c r="P221" t="str">
        <v/>
      </c>
      <c r="Q221" t="str">
        <v/>
      </c>
      <c r="R221" t="str">
        <v/>
      </c>
    </row>
    <row r="222">
      <c r="A222">
        <v>20828</v>
      </c>
      <c r="B222" t="str">
        <v>Teve Interesse</v>
      </c>
      <c r="C222">
        <v>9886</v>
      </c>
      <c r="D222" t="str">
        <v>Tatiana | Serra</v>
      </c>
      <c r="E222" t="str">
        <v>Televendas</v>
      </c>
      <c r="F222" t="str">
        <v>Serra</v>
      </c>
      <c r="G222" t="str">
        <v>Franciele</v>
      </c>
      <c r="H222" t="str">
        <v>CAMPANHA SUPER VOUCHER| 45-120 DIAS | TELEVENDAS</v>
      </c>
      <c r="I222">
        <v>46212</v>
      </c>
      <c r="J222" t="str">
        <v>Não</v>
      </c>
      <c r="K222" t="str">
        <v/>
      </c>
      <c r="L222" t="str">
        <v/>
      </c>
      <c r="M222" t="str">
        <v/>
      </c>
      <c r="N222" t="str">
        <v/>
      </c>
      <c r="O222" t="str">
        <v/>
      </c>
      <c r="P222" t="str">
        <v/>
      </c>
      <c r="Q222" t="str">
        <v/>
      </c>
      <c r="R222" t="str">
        <v/>
      </c>
    </row>
    <row r="223">
      <c r="A223">
        <v>29950</v>
      </c>
      <c r="B223" t="str">
        <v>Teve Interesse</v>
      </c>
      <c r="C223">
        <v>6127</v>
      </c>
      <c r="D223" t="str">
        <v>Paulo Renato</v>
      </c>
      <c r="E223" t="str">
        <v>Externo</v>
      </c>
      <c r="F223" t="str">
        <v>Litoral</v>
      </c>
      <c r="G223" t="str">
        <v>Muriel</v>
      </c>
      <c r="H223" t="str">
        <v>CAMPANHA SUPER VOUCHER| 45-120 DIAS | TELEVENDAS</v>
      </c>
      <c r="I223">
        <v>46212</v>
      </c>
      <c r="J223" t="str">
        <v>Não</v>
      </c>
      <c r="K223" t="str">
        <v/>
      </c>
      <c r="L223" t="str">
        <v/>
      </c>
      <c r="M223" t="str">
        <v/>
      </c>
      <c r="N223" t="str">
        <v/>
      </c>
      <c r="O223" t="str">
        <v/>
      </c>
      <c r="P223" t="str">
        <v/>
      </c>
      <c r="Q223" t="str">
        <v/>
      </c>
      <c r="R223" t="str">
        <v/>
      </c>
    </row>
    <row r="224">
      <c r="A224">
        <v>30503</v>
      </c>
      <c r="B224" t="str">
        <v>Teve Interesse</v>
      </c>
      <c r="C224">
        <v>9886</v>
      </c>
      <c r="D224" t="str">
        <v>Tatiana | Serra</v>
      </c>
      <c r="E224" t="str">
        <v>Televendas</v>
      </c>
      <c r="F224" t="str">
        <v>Serra</v>
      </c>
      <c r="G224" t="str">
        <v>Franciele</v>
      </c>
      <c r="H224" t="str">
        <v>CAMPANHA SUPER VOUCHER| 45-120 DIAS | TELEVENDAS</v>
      </c>
      <c r="I224">
        <v>46212</v>
      </c>
      <c r="J224" t="str">
        <v>Não</v>
      </c>
      <c r="K224" t="str">
        <v/>
      </c>
      <c r="L224" t="str">
        <v/>
      </c>
      <c r="M224" t="str">
        <v/>
      </c>
      <c r="N224" t="str">
        <v/>
      </c>
      <c r="O224" t="str">
        <v/>
      </c>
      <c r="P224" t="str">
        <v/>
      </c>
      <c r="Q224" t="str">
        <v/>
      </c>
      <c r="R224" t="str">
        <v/>
      </c>
    </row>
    <row r="225">
      <c r="A225" t="str">
        <v/>
      </c>
      <c r="B225" t="str">
        <v/>
      </c>
      <c r="C225" t="str">
        <v/>
      </c>
      <c r="D225" t="str">
        <v/>
      </c>
      <c r="E225" t="str">
        <v/>
      </c>
      <c r="F225" t="str">
        <v/>
      </c>
      <c r="G225" t="str">
        <v/>
      </c>
      <c r="H225" t="str">
        <v/>
      </c>
      <c r="I225" t="str">
        <v/>
      </c>
      <c r="J225" t="str">
        <v/>
      </c>
      <c r="K225" t="str">
        <v/>
      </c>
      <c r="L225" t="str">
        <v/>
      </c>
      <c r="M225" t="str">
        <v>CAMPANHA</v>
      </c>
      <c r="N225" t="str">
        <v>TOTAL DE CLIENTES</v>
      </c>
      <c r="O225" t="str">
        <v>RECEBERAM</v>
      </c>
      <c r="P225" t="str">
        <v/>
      </c>
      <c r="Q225" t="str">
        <v/>
      </c>
      <c r="R225" t="str">
        <v/>
      </c>
    </row>
    <row r="226">
      <c r="A226" t="str">
        <v/>
      </c>
      <c r="B226" t="str">
        <v/>
      </c>
      <c r="C226" t="str">
        <v/>
      </c>
      <c r="D226" t="str">
        <v/>
      </c>
      <c r="E226" t="str">
        <v/>
      </c>
      <c r="F226" t="str">
        <v/>
      </c>
      <c r="G226" t="str">
        <v/>
      </c>
      <c r="H226" t="str">
        <v/>
      </c>
      <c r="I226" t="str">
        <v/>
      </c>
      <c r="J226" t="str">
        <v/>
      </c>
      <c r="K226" t="str">
        <v/>
      </c>
      <c r="L226" t="str">
        <v/>
      </c>
      <c r="M226" t="str">
        <v>VOUCHER | 45-89 DIAS | TELEVENDAS</v>
      </c>
      <c r="N226">
        <v>1539</v>
      </c>
      <c r="O226">
        <v>643</v>
      </c>
      <c r="P226" t="str">
        <v/>
      </c>
      <c r="Q226" t="str">
        <v/>
      </c>
      <c r="R226" t="str">
        <v/>
      </c>
    </row>
    <row r="227">
      <c r="A227" t="str">
        <v/>
      </c>
      <c r="B227" t="str">
        <v/>
      </c>
      <c r="C227" t="str">
        <v/>
      </c>
      <c r="D227" t="str">
        <v/>
      </c>
      <c r="E227" t="str">
        <v/>
      </c>
      <c r="F227" t="str">
        <v/>
      </c>
      <c r="G227" t="str">
        <v/>
      </c>
      <c r="H227" t="str">
        <v/>
      </c>
      <c r="I227" t="str">
        <v/>
      </c>
      <c r="J227" t="str">
        <v/>
      </c>
      <c r="K227" t="str">
        <v/>
      </c>
      <c r="L227" t="str">
        <v/>
      </c>
      <c r="M227" t="str">
        <v>BATATAS | 45-120 DIAS | TELEVENDAS</v>
      </c>
      <c r="N227">
        <v>3989</v>
      </c>
      <c r="O227">
        <v>1269</v>
      </c>
      <c r="P227" t="str">
        <v/>
      </c>
      <c r="Q227" t="str">
        <v/>
      </c>
      <c r="R227" t="str">
        <v/>
      </c>
    </row>
    <row r="228">
      <c r="A228" t="str">
        <v/>
      </c>
      <c r="B228" t="str">
        <v/>
      </c>
      <c r="C228" t="str">
        <v/>
      </c>
      <c r="D228" t="str">
        <v/>
      </c>
      <c r="E228" t="str">
        <v/>
      </c>
      <c r="F228" t="str">
        <v/>
      </c>
      <c r="G228" t="str">
        <v/>
      </c>
      <c r="H228" t="str">
        <v/>
      </c>
      <c r="I228" t="str">
        <v/>
      </c>
      <c r="J228" t="str">
        <v/>
      </c>
      <c r="K228" t="str">
        <v/>
      </c>
      <c r="L228" t="str">
        <v/>
      </c>
      <c r="M228" t="str">
        <v>AÇAÍ | 45-120 DIAS | TELEVENDAS</v>
      </c>
      <c r="N228">
        <v>333</v>
      </c>
      <c r="O228">
        <v>160</v>
      </c>
      <c r="P228" t="str">
        <v/>
      </c>
      <c r="Q228" t="str">
        <v/>
      </c>
      <c r="R228" t="str">
        <v/>
      </c>
    </row>
    <row r="229">
      <c r="A229" t="str">
        <v/>
      </c>
      <c r="B229" t="str">
        <v/>
      </c>
      <c r="C229" t="str">
        <v/>
      </c>
      <c r="D229" t="str">
        <v/>
      </c>
      <c r="E229" t="str">
        <v/>
      </c>
      <c r="F229" t="str">
        <v/>
      </c>
      <c r="G229" t="str">
        <v/>
      </c>
      <c r="H229" t="str">
        <v/>
      </c>
      <c r="I229" t="str">
        <v/>
      </c>
      <c r="J229" t="str">
        <v/>
      </c>
      <c r="K229" t="str">
        <v/>
      </c>
      <c r="L229" t="str">
        <v/>
      </c>
      <c r="M229" t="str">
        <v>COPA | 20-44 DIAS | REPRESENTANTES</v>
      </c>
      <c r="N229">
        <v>370</v>
      </c>
      <c r="O229">
        <v>183</v>
      </c>
      <c r="P229" t="str">
        <v/>
      </c>
      <c r="Q229" t="str">
        <v/>
      </c>
      <c r="R229" t="str">
        <v/>
      </c>
    </row>
    <row r="230">
      <c r="A230" t="str">
        <v/>
      </c>
      <c r="B230" t="str">
        <v/>
      </c>
      <c r="C230" t="str">
        <v/>
      </c>
      <c r="D230" t="str">
        <v/>
      </c>
      <c r="E230" t="str">
        <v/>
      </c>
      <c r="F230" t="str">
        <v/>
      </c>
      <c r="G230" t="str">
        <v/>
      </c>
      <c r="H230" t="str">
        <v/>
      </c>
      <c r="I230" t="str">
        <v/>
      </c>
      <c r="J230" t="str">
        <v/>
      </c>
      <c r="K230" t="str">
        <v/>
      </c>
      <c r="L230" t="str">
        <v/>
      </c>
      <c r="M230" t="str">
        <v>DIA DO AÇAÍ | 45-120 DIAS | TELEVENDAS</v>
      </c>
      <c r="N230">
        <v>1144</v>
      </c>
      <c r="O230">
        <v>812</v>
      </c>
      <c r="P230" t="str">
        <v/>
      </c>
      <c r="Q230" t="str">
        <v/>
      </c>
      <c r="R230" t="str">
        <v/>
      </c>
    </row>
    <row r="231">
      <c r="A231" t="str">
        <v/>
      </c>
      <c r="B231" t="str">
        <v/>
      </c>
      <c r="C231" t="str">
        <v/>
      </c>
      <c r="D231" t="str">
        <v/>
      </c>
      <c r="E231" t="str">
        <v/>
      </c>
      <c r="F231" t="str">
        <v/>
      </c>
      <c r="G231" t="str">
        <v/>
      </c>
      <c r="H231" t="str">
        <v/>
      </c>
      <c r="I231" t="str">
        <v/>
      </c>
      <c r="J231" t="str">
        <v/>
      </c>
      <c r="K231" t="str">
        <v/>
      </c>
      <c r="L231" t="str">
        <v/>
      </c>
      <c r="M231" t="str">
        <v>DIA DO AÇAÍ | 45-120 DIAS | TELEVENDAS</v>
      </c>
      <c r="N231">
        <v>738</v>
      </c>
      <c r="O231">
        <v>430</v>
      </c>
      <c r="P231" t="str">
        <v/>
      </c>
      <c r="Q231" t="str">
        <v/>
      </c>
      <c r="R231" t="str">
        <v/>
      </c>
    </row>
    <row r="232">
      <c r="A232" t="str">
        <v/>
      </c>
      <c r="B232" t="str">
        <v/>
      </c>
      <c r="C232" t="str">
        <v/>
      </c>
      <c r="D232" t="str">
        <v/>
      </c>
      <c r="E232" t="str">
        <v/>
      </c>
      <c r="F232" t="str">
        <v/>
      </c>
      <c r="G232" t="str">
        <v/>
      </c>
      <c r="H232" t="str">
        <v/>
      </c>
      <c r="I232" t="str">
        <v/>
      </c>
      <c r="J232" t="str">
        <v/>
      </c>
      <c r="K232" t="str">
        <v/>
      </c>
      <c r="L232" t="str">
        <v/>
      </c>
      <c r="M232" t="str">
        <v>FECHAMENTO DO MÊS | 45-89 DIAS | TELEVENDAS</v>
      </c>
      <c r="N232">
        <v>77</v>
      </c>
      <c r="O232">
        <v>31</v>
      </c>
      <c r="P232" t="str">
        <v/>
      </c>
      <c r="Q232" t="str">
        <v/>
      </c>
      <c r="R232" t="str">
        <v/>
      </c>
    </row>
    <row r="233">
      <c r="A233" t="str">
        <v/>
      </c>
      <c r="B233" t="str">
        <v/>
      </c>
      <c r="C233" t="str">
        <v/>
      </c>
      <c r="D233" t="str">
        <v/>
      </c>
      <c r="E233" t="str">
        <v/>
      </c>
      <c r="F233" t="str">
        <v/>
      </c>
      <c r="G233" t="str">
        <v/>
      </c>
      <c r="H233" t="str">
        <v/>
      </c>
      <c r="I233" t="str">
        <v/>
      </c>
      <c r="J233" t="str">
        <v/>
      </c>
      <c r="K233" t="str">
        <v/>
      </c>
      <c r="L233" t="str">
        <v/>
      </c>
      <c r="M233" t="str">
        <v>PROSPECÇÃO CNPJ | 45-365 DIAS | TELEVENDAS</v>
      </c>
      <c r="N233">
        <v>2441</v>
      </c>
      <c r="O233">
        <v>880</v>
      </c>
      <c r="P233" t="str">
        <v/>
      </c>
      <c r="Q233" t="str">
        <v/>
      </c>
      <c r="R233" t="str">
        <v/>
      </c>
    </row>
    <row r="234">
      <c r="A234" t="str">
        <v/>
      </c>
      <c r="B234" t="str">
        <v/>
      </c>
      <c r="C234" t="str">
        <v/>
      </c>
      <c r="D234" t="str">
        <v/>
      </c>
      <c r="E234" t="str">
        <v/>
      </c>
      <c r="F234" t="str">
        <v/>
      </c>
      <c r="G234" t="str">
        <v/>
      </c>
      <c r="H234" t="str">
        <v/>
      </c>
      <c r="I234" t="str">
        <v/>
      </c>
      <c r="J234" t="str">
        <v/>
      </c>
      <c r="K234" t="str">
        <v/>
      </c>
      <c r="L234" t="str">
        <v/>
      </c>
      <c r="M234" t="str">
        <v>CAMPANHA BRASIL VENCEU | 20-44 DIAS | REPRESENTANTES</v>
      </c>
      <c r="N234">
        <v>984</v>
      </c>
      <c r="O234">
        <v>314</v>
      </c>
      <c r="P234" t="str">
        <v/>
      </c>
      <c r="Q234" t="str">
        <v/>
      </c>
      <c r="R234" t="str">
        <v/>
      </c>
    </row>
    <row r="235">
      <c r="A235" t="str">
        <v/>
      </c>
      <c r="B235" t="str">
        <v/>
      </c>
      <c r="C235" t="str">
        <v/>
      </c>
      <c r="D235" t="str">
        <v/>
      </c>
      <c r="E235" t="str">
        <v/>
      </c>
      <c r="F235" t="str">
        <v/>
      </c>
      <c r="G235" t="str">
        <v/>
      </c>
      <c r="H235" t="str">
        <v/>
      </c>
      <c r="I235" t="str">
        <v/>
      </c>
      <c r="J235" t="str">
        <v/>
      </c>
      <c r="K235" t="str">
        <v/>
      </c>
      <c r="L235" t="str">
        <v/>
      </c>
      <c r="M235" t="str">
        <v>VOUCHER | 45-365 DIAS | TELEVENDAS</v>
      </c>
      <c r="N235">
        <v>1395</v>
      </c>
      <c r="O235">
        <v>742</v>
      </c>
      <c r="P235" t="str">
        <v/>
      </c>
      <c r="Q235" t="str">
        <v/>
      </c>
      <c r="R235" t="str">
        <v/>
      </c>
    </row>
    <row r="236">
      <c r="A236" t="str">
        <v/>
      </c>
      <c r="B236" t="str">
        <v/>
      </c>
      <c r="C236" t="str">
        <v/>
      </c>
      <c r="D236" t="str">
        <v/>
      </c>
      <c r="E236" t="str">
        <v/>
      </c>
      <c r="F236" t="str">
        <v/>
      </c>
      <c r="G236" t="str">
        <v/>
      </c>
      <c r="H236" t="str">
        <v/>
      </c>
      <c r="I236" t="str">
        <v/>
      </c>
      <c r="J236" t="str">
        <v/>
      </c>
      <c r="K236" t="str">
        <v/>
      </c>
      <c r="L236" t="str">
        <v/>
      </c>
      <c r="M236" t="str">
        <v>VOLTE A COMPRAR | 20-44 DIAS | REPRESENTANTES</v>
      </c>
      <c r="N236">
        <v>963</v>
      </c>
      <c r="O236">
        <v>406</v>
      </c>
      <c r="P236" t="str">
        <v/>
      </c>
      <c r="Q236" t="str">
        <v/>
      </c>
      <c r="R236" t="str">
        <v/>
      </c>
    </row>
    <row r="237">
      <c r="A237" t="str">
        <v/>
      </c>
      <c r="B237" t="str">
        <v/>
      </c>
      <c r="C237" t="str">
        <v/>
      </c>
      <c r="D237" t="str">
        <v/>
      </c>
      <c r="E237" t="str">
        <v/>
      </c>
      <c r="F237" t="str">
        <v/>
      </c>
      <c r="G237" t="str">
        <v/>
      </c>
      <c r="H237" t="str">
        <v/>
      </c>
      <c r="I237" t="str">
        <v/>
      </c>
      <c r="J237" t="str">
        <v/>
      </c>
      <c r="K237" t="str">
        <v/>
      </c>
      <c r="L237" t="str">
        <v/>
      </c>
      <c r="M237" t="str">
        <v>AÇAÍ | 45-120 DIAS | TELEVENDAS</v>
      </c>
      <c r="N237">
        <v>986</v>
      </c>
      <c r="O237">
        <v>358</v>
      </c>
      <c r="P237" t="str">
        <v/>
      </c>
      <c r="Q237" t="str">
        <v/>
      </c>
      <c r="R237" t="str">
        <v/>
      </c>
    </row>
    <row r="238">
      <c r="A238" t="str">
        <v/>
      </c>
      <c r="B238" t="str">
        <v/>
      </c>
      <c r="C238" t="str">
        <v/>
      </c>
      <c r="D238" t="str">
        <v/>
      </c>
      <c r="E238" t="str">
        <v/>
      </c>
      <c r="F238" t="str">
        <v/>
      </c>
      <c r="G238" t="str">
        <v/>
      </c>
      <c r="H238" t="str">
        <v/>
      </c>
      <c r="I238" t="str">
        <v/>
      </c>
      <c r="J238" t="str">
        <v/>
      </c>
      <c r="K238" t="str">
        <v/>
      </c>
      <c r="L238" t="str">
        <v/>
      </c>
      <c r="M238" t="str">
        <v>VOUCHER</v>
      </c>
      <c r="N238">
        <v>1436</v>
      </c>
      <c r="O238">
        <v>628</v>
      </c>
      <c r="P238" t="str">
        <v/>
      </c>
      <c r="Q238" t="str">
        <v/>
      </c>
      <c r="R238" t="str">
        <v/>
      </c>
    </row>
    <row r="239">
      <c r="A239" t="str">
        <v/>
      </c>
      <c r="B239" t="str">
        <v/>
      </c>
      <c r="C239" t="str">
        <v/>
      </c>
      <c r="D239" t="str">
        <v/>
      </c>
      <c r="E239" t="str">
        <v/>
      </c>
      <c r="F239" t="str">
        <v/>
      </c>
      <c r="G239" t="str">
        <v/>
      </c>
      <c r="H239" t="str">
        <v/>
      </c>
      <c r="I239" t="str">
        <v/>
      </c>
      <c r="J239" t="str">
        <v/>
      </c>
      <c r="K239" t="str">
        <v/>
      </c>
      <c r="L239" t="str">
        <v/>
      </c>
      <c r="M239" t="str">
        <v/>
      </c>
      <c r="N239" t="str">
        <v/>
      </c>
      <c r="O239" t="str">
        <v/>
      </c>
      <c r="P239" t="str">
        <v/>
      </c>
      <c r="Q239" t="str">
        <v/>
      </c>
      <c r="R239" t="str">
        <v/>
      </c>
    </row>
    <row r="240">
      <c r="A240" t="str">
        <v/>
      </c>
      <c r="B240" t="str">
        <v/>
      </c>
      <c r="C240" t="str">
        <v/>
      </c>
      <c r="D240" t="str">
        <v/>
      </c>
      <c r="E240" t="str">
        <v/>
      </c>
      <c r="F240" t="str">
        <v/>
      </c>
      <c r="G240" t="str">
        <v/>
      </c>
      <c r="H240" t="str">
        <v/>
      </c>
      <c r="I240" t="str">
        <v/>
      </c>
      <c r="J240" t="str">
        <v/>
      </c>
      <c r="K240" t="str">
        <v/>
      </c>
      <c r="L240" t="str">
        <v/>
      </c>
      <c r="M240" t="str">
        <v/>
      </c>
      <c r="N240" t="str">
        <v/>
      </c>
      <c r="O240" t="str">
        <v/>
      </c>
      <c r="P240" t="str">
        <v/>
      </c>
      <c r="Q240" t="str">
        <v/>
      </c>
      <c r="R240" t="str">
        <v/>
      </c>
    </row>
    <row r="241">
      <c r="A241" t="str">
        <v/>
      </c>
      <c r="B241" t="str">
        <v/>
      </c>
      <c r="C241" t="str">
        <v/>
      </c>
      <c r="D241" t="str">
        <v/>
      </c>
      <c r="E241" t="str">
        <v/>
      </c>
      <c r="F241" t="str">
        <v/>
      </c>
      <c r="G241" t="str">
        <v/>
      </c>
      <c r="H241" t="str">
        <v/>
      </c>
      <c r="I241" t="str">
        <v/>
      </c>
      <c r="J241" t="str">
        <v/>
      </c>
      <c r="K241" t="str">
        <v/>
      </c>
      <c r="L241" t="str">
        <v/>
      </c>
      <c r="M241" t="str">
        <v/>
      </c>
      <c r="N241" t="str">
        <v/>
      </c>
      <c r="O241" t="str">
        <v/>
      </c>
      <c r="P241" t="str">
        <v/>
      </c>
      <c r="Q241" t="str">
        <v/>
      </c>
      <c r="R241" t="str">
        <v/>
      </c>
    </row>
    <row r="242">
      <c r="A242" t="str">
        <v/>
      </c>
      <c r="B242" t="str">
        <v/>
      </c>
      <c r="C242" t="str">
        <v/>
      </c>
      <c r="D242" t="str">
        <v/>
      </c>
      <c r="E242" t="str">
        <v/>
      </c>
      <c r="F242" t="str">
        <v/>
      </c>
      <c r="G242" t="str">
        <v/>
      </c>
      <c r="H242" t="str">
        <v/>
      </c>
      <c r="I242" t="str">
        <v/>
      </c>
      <c r="J242" t="str">
        <v/>
      </c>
      <c r="K242" t="str">
        <v/>
      </c>
      <c r="L242" t="str">
        <v/>
      </c>
      <c r="M242" t="str">
        <v/>
      </c>
      <c r="N242" t="str">
        <v/>
      </c>
      <c r="O242" t="str">
        <v/>
      </c>
      <c r="P242" t="str">
        <v/>
      </c>
      <c r="Q242" t="str">
        <v/>
      </c>
      <c r="R242" t="str">
        <v/>
      </c>
    </row>
    <row r="243">
      <c r="A243" t="str">
        <v/>
      </c>
      <c r="B243" t="str">
        <v/>
      </c>
      <c r="C243" t="str">
        <v/>
      </c>
      <c r="D243" t="str">
        <v/>
      </c>
      <c r="E243" t="str">
        <v/>
      </c>
      <c r="F243" t="str">
        <v/>
      </c>
      <c r="G243" t="str">
        <v/>
      </c>
      <c r="H243" t="str">
        <v/>
      </c>
      <c r="I243" t="str">
        <v/>
      </c>
      <c r="J243" t="str">
        <v/>
      </c>
      <c r="K243" t="str">
        <v/>
      </c>
      <c r="L243" t="str">
        <v/>
      </c>
      <c r="M243" t="str">
        <v/>
      </c>
      <c r="N243" t="str">
        <v/>
      </c>
      <c r="O243" t="str">
        <v/>
      </c>
      <c r="P243" t="str">
        <v/>
      </c>
      <c r="Q243" t="str">
        <v/>
      </c>
      <c r="R243" t="str">
        <v/>
      </c>
    </row>
    <row r="244">
      <c r="A244" t="str">
        <v/>
      </c>
      <c r="B244" t="str">
        <v/>
      </c>
      <c r="C244" t="str">
        <v/>
      </c>
      <c r="D244" t="str">
        <v/>
      </c>
      <c r="E244" t="str">
        <v/>
      </c>
      <c r="F244" t="str">
        <v/>
      </c>
      <c r="G244" t="str">
        <v/>
      </c>
      <c r="H244" t="str">
        <v/>
      </c>
      <c r="I244" t="str">
        <v/>
      </c>
      <c r="J244" t="str">
        <v/>
      </c>
      <c r="K244" t="str">
        <v/>
      </c>
      <c r="L244" t="str">
        <v/>
      </c>
      <c r="M244" t="str">
        <v/>
      </c>
      <c r="N244" t="str">
        <v/>
      </c>
      <c r="O244" t="str">
        <v/>
      </c>
      <c r="P244" t="str">
        <v/>
      </c>
      <c r="Q244" t="str">
        <v/>
      </c>
      <c r="R244" t="str">
        <v/>
      </c>
    </row>
    <row r="245">
      <c r="A245" t="str">
        <v/>
      </c>
      <c r="B245" t="str">
        <v/>
      </c>
      <c r="C245" t="str">
        <v/>
      </c>
      <c r="D245" t="str">
        <v/>
      </c>
      <c r="E245" t="str">
        <v/>
      </c>
      <c r="F245" t="str">
        <v/>
      </c>
      <c r="G245" t="str">
        <v/>
      </c>
      <c r="H245" t="str">
        <v/>
      </c>
      <c r="I245" t="str">
        <v/>
      </c>
      <c r="J245" t="str">
        <v/>
      </c>
      <c r="K245" t="str">
        <v/>
      </c>
      <c r="L245" t="str">
        <v/>
      </c>
      <c r="M245" t="str">
        <v/>
      </c>
      <c r="N245" t="str">
        <v/>
      </c>
      <c r="O245" t="str">
        <v/>
      </c>
      <c r="P245" t="str">
        <v/>
      </c>
      <c r="Q245" t="str">
        <v/>
      </c>
      <c r="R245" t="str">
        <v/>
      </c>
    </row>
    <row r="246">
      <c r="A246" t="str">
        <v/>
      </c>
      <c r="B246" t="str">
        <v/>
      </c>
      <c r="C246" t="str">
        <v/>
      </c>
      <c r="D246" t="str">
        <v/>
      </c>
      <c r="E246" t="str">
        <v/>
      </c>
      <c r="F246" t="str">
        <v/>
      </c>
      <c r="G246" t="str">
        <v/>
      </c>
      <c r="H246" t="str">
        <v/>
      </c>
      <c r="I246" t="str">
        <v/>
      </c>
      <c r="J246" t="str">
        <v/>
      </c>
      <c r="K246" t="str">
        <v/>
      </c>
      <c r="L246" t="str">
        <v/>
      </c>
      <c r="M246" t="str">
        <v/>
      </c>
      <c r="N246" t="str">
        <v/>
      </c>
      <c r="O246" t="str">
        <v/>
      </c>
      <c r="P246" t="str">
        <v/>
      </c>
      <c r="Q246" t="str">
        <v/>
      </c>
      <c r="R246" t="str">
        <v/>
      </c>
    </row>
    <row r="247">
      <c r="A247" t="str">
        <v/>
      </c>
      <c r="B247" t="str">
        <v/>
      </c>
      <c r="C247" t="str">
        <v/>
      </c>
      <c r="D247" t="str">
        <v/>
      </c>
      <c r="E247" t="str">
        <v/>
      </c>
      <c r="F247" t="str">
        <v/>
      </c>
      <c r="G247" t="str">
        <v/>
      </c>
      <c r="H247" t="str">
        <v/>
      </c>
      <c r="I247" t="str">
        <v/>
      </c>
      <c r="J247" t="str">
        <v/>
      </c>
      <c r="K247" t="str">
        <v/>
      </c>
      <c r="L247" t="str">
        <v/>
      </c>
      <c r="M247" t="str">
        <v/>
      </c>
      <c r="N247" t="str">
        <v/>
      </c>
      <c r="O247" t="str">
        <v/>
      </c>
      <c r="P247" t="str">
        <v/>
      </c>
      <c r="Q247" t="str">
        <v/>
      </c>
      <c r="R247" t="str">
        <v/>
      </c>
    </row>
    <row r="248">
      <c r="A248" t="str">
        <v/>
      </c>
      <c r="B248" t="str">
        <v/>
      </c>
      <c r="C248" t="str">
        <v/>
      </c>
      <c r="D248" t="str">
        <v/>
      </c>
      <c r="E248" t="str">
        <v/>
      </c>
      <c r="F248" t="str">
        <v/>
      </c>
      <c r="G248" t="str">
        <v/>
      </c>
      <c r="H248" t="str">
        <v/>
      </c>
      <c r="I248" t="str">
        <v/>
      </c>
      <c r="J248" t="str">
        <v/>
      </c>
      <c r="K248" t="str">
        <v/>
      </c>
      <c r="L248" t="str">
        <v/>
      </c>
      <c r="M248" t="str">
        <v/>
      </c>
      <c r="N248" t="str">
        <v/>
      </c>
      <c r="O248" t="str">
        <v/>
      </c>
      <c r="P248" t="str">
        <v/>
      </c>
      <c r="Q248" t="str">
        <v/>
      </c>
      <c r="R248" t="str">
        <v/>
      </c>
    </row>
    <row r="249">
      <c r="A249" t="str">
        <v/>
      </c>
      <c r="B249" t="str">
        <v/>
      </c>
      <c r="C249" t="str">
        <v/>
      </c>
      <c r="D249" t="str">
        <v/>
      </c>
      <c r="E249" t="str">
        <v/>
      </c>
      <c r="F249" t="str">
        <v/>
      </c>
      <c r="G249" t="str">
        <v/>
      </c>
      <c r="H249" t="str">
        <v/>
      </c>
      <c r="I249" t="str">
        <v/>
      </c>
      <c r="J249" t="str">
        <v/>
      </c>
      <c r="K249" t="str">
        <v/>
      </c>
      <c r="L249" t="str">
        <v/>
      </c>
      <c r="M249" t="str">
        <v/>
      </c>
      <c r="N249" t="str">
        <v/>
      </c>
      <c r="O249" t="str">
        <v/>
      </c>
      <c r="P249" t="str">
        <v/>
      </c>
      <c r="Q249" t="str">
        <v/>
      </c>
      <c r="R249" t="str">
        <v/>
      </c>
    </row>
    <row r="250">
      <c r="A250" t="str">
        <v/>
      </c>
      <c r="B250" t="str">
        <v/>
      </c>
      <c r="C250" t="str">
        <v/>
      </c>
      <c r="D250" t="str">
        <v/>
      </c>
      <c r="E250" t="str">
        <v/>
      </c>
      <c r="F250" t="str">
        <v/>
      </c>
      <c r="G250" t="str">
        <v/>
      </c>
      <c r="H250" t="str">
        <v/>
      </c>
      <c r="I250" t="str">
        <v/>
      </c>
      <c r="J250" t="str">
        <v/>
      </c>
      <c r="K250" t="str">
        <v/>
      </c>
      <c r="L250" t="str">
        <v/>
      </c>
      <c r="M250" t="str">
        <v/>
      </c>
      <c r="N250" t="str">
        <v/>
      </c>
      <c r="O250" t="str">
        <v/>
      </c>
      <c r="P250" t="str">
        <v/>
      </c>
      <c r="Q250" t="str">
        <v/>
      </c>
      <c r="R250" t="str">
        <v/>
      </c>
    </row>
    <row r="251">
      <c r="A251" t="str">
        <v/>
      </c>
      <c r="B251" t="str">
        <v/>
      </c>
      <c r="C251" t="str">
        <v/>
      </c>
      <c r="D251" t="str">
        <v/>
      </c>
      <c r="E251" t="str">
        <v/>
      </c>
      <c r="F251" t="str">
        <v/>
      </c>
      <c r="G251" t="str">
        <v/>
      </c>
      <c r="H251" t="str">
        <v/>
      </c>
      <c r="I251" t="str">
        <v/>
      </c>
      <c r="J251" t="str">
        <v/>
      </c>
      <c r="K251" t="str">
        <v/>
      </c>
      <c r="L251" t="str">
        <v/>
      </c>
      <c r="M251" t="str">
        <v/>
      </c>
      <c r="N251" t="str">
        <v/>
      </c>
      <c r="O251" t="str">
        <v/>
      </c>
      <c r="P251" t="str">
        <v/>
      </c>
      <c r="Q251" t="str">
        <v/>
      </c>
      <c r="R251" t="str">
        <v/>
      </c>
    </row>
    <row r="252">
      <c r="A252" t="str">
        <v/>
      </c>
      <c r="B252" t="str">
        <v/>
      </c>
      <c r="C252" t="str">
        <v/>
      </c>
      <c r="D252" t="str">
        <v/>
      </c>
      <c r="E252" t="str">
        <v/>
      </c>
      <c r="F252" t="str">
        <v/>
      </c>
      <c r="G252" t="str">
        <v/>
      </c>
      <c r="H252" t="str">
        <v/>
      </c>
      <c r="I252" t="str">
        <v/>
      </c>
      <c r="J252" t="str">
        <v/>
      </c>
      <c r="K252" t="str">
        <v/>
      </c>
      <c r="L252" t="str">
        <v/>
      </c>
      <c r="M252" t="str">
        <v/>
      </c>
      <c r="N252" t="str">
        <v/>
      </c>
      <c r="O252" t="str">
        <v/>
      </c>
      <c r="P252" t="str">
        <v/>
      </c>
      <c r="Q252" t="str">
        <v/>
      </c>
      <c r="R252" t="str">
        <v/>
      </c>
    </row>
    <row r="253">
      <c r="A253" t="str">
        <v/>
      </c>
      <c r="B253" t="str">
        <v/>
      </c>
      <c r="C253" t="str">
        <v/>
      </c>
      <c r="D253" t="str">
        <v/>
      </c>
      <c r="E253" t="str">
        <v/>
      </c>
      <c r="F253" t="str">
        <v/>
      </c>
      <c r="G253" t="str">
        <v/>
      </c>
      <c r="H253" t="str">
        <v/>
      </c>
      <c r="I253" t="str">
        <v/>
      </c>
      <c r="J253" t="str">
        <v/>
      </c>
      <c r="K253" t="str">
        <v/>
      </c>
      <c r="L253" t="str">
        <v/>
      </c>
      <c r="M253" t="str">
        <v/>
      </c>
      <c r="N253" t="str">
        <v/>
      </c>
      <c r="O253" t="str">
        <v/>
      </c>
      <c r="P253" t="str">
        <v/>
      </c>
      <c r="Q253" t="str">
        <v/>
      </c>
      <c r="R253" t="str">
        <v/>
      </c>
    </row>
    <row r="254">
      <c r="A254" t="str">
        <v/>
      </c>
      <c r="B254" t="str">
        <v/>
      </c>
      <c r="C254" t="str">
        <v/>
      </c>
      <c r="D254" t="str">
        <v/>
      </c>
      <c r="E254" t="str">
        <v/>
      </c>
      <c r="F254" t="str">
        <v/>
      </c>
      <c r="G254" t="str">
        <v/>
      </c>
      <c r="H254" t="str">
        <v/>
      </c>
      <c r="I254" t="str">
        <v/>
      </c>
      <c r="J254" t="str">
        <v/>
      </c>
      <c r="K254" t="str">
        <v/>
      </c>
      <c r="L254" t="str">
        <v/>
      </c>
      <c r="M254" t="str">
        <v/>
      </c>
      <c r="N254" t="str">
        <v/>
      </c>
      <c r="O254" t="str">
        <v/>
      </c>
      <c r="P254" t="str">
        <v/>
      </c>
      <c r="Q254" t="str">
        <v/>
      </c>
      <c r="R254" t="str">
        <v/>
      </c>
    </row>
    <row r="255">
      <c r="A255" t="str">
        <v/>
      </c>
      <c r="B255" t="str">
        <v/>
      </c>
      <c r="C255" t="str">
        <v/>
      </c>
      <c r="D255" t="str">
        <v/>
      </c>
      <c r="E255" t="str">
        <v/>
      </c>
      <c r="F255" t="str">
        <v/>
      </c>
      <c r="G255" t="str">
        <v/>
      </c>
      <c r="H255" t="str">
        <v/>
      </c>
      <c r="I255" t="str">
        <v/>
      </c>
      <c r="J255" t="str">
        <v/>
      </c>
      <c r="K255" t="str">
        <v/>
      </c>
      <c r="L255" t="str">
        <v/>
      </c>
      <c r="M255" t="str">
        <v/>
      </c>
      <c r="N255" t="str">
        <v/>
      </c>
      <c r="O255" t="str">
        <v/>
      </c>
      <c r="P255" t="str">
        <v/>
      </c>
      <c r="Q255" t="str">
        <v/>
      </c>
      <c r="R255" t="str">
        <v/>
      </c>
    </row>
    <row r="256">
      <c r="A256" t="str">
        <v/>
      </c>
      <c r="B256" t="str">
        <v/>
      </c>
      <c r="C256" t="str">
        <v/>
      </c>
      <c r="D256" t="str">
        <v/>
      </c>
      <c r="E256" t="str">
        <v/>
      </c>
      <c r="F256" t="str">
        <v/>
      </c>
      <c r="G256" t="str">
        <v/>
      </c>
      <c r="H256" t="str">
        <v/>
      </c>
      <c r="I256" t="str">
        <v/>
      </c>
      <c r="J256" t="str">
        <v/>
      </c>
      <c r="K256" t="str">
        <v/>
      </c>
      <c r="L256" t="str">
        <v/>
      </c>
      <c r="M256" t="str">
        <v/>
      </c>
      <c r="N256" t="str">
        <v/>
      </c>
      <c r="O256" t="str">
        <v/>
      </c>
      <c r="P256" t="str">
        <v/>
      </c>
      <c r="Q256" t="str">
        <v/>
      </c>
      <c r="R256" t="str">
        <v/>
      </c>
    </row>
    <row r="257">
      <c r="A257" t="str">
        <v/>
      </c>
      <c r="B257" t="str">
        <v/>
      </c>
      <c r="C257" t="str">
        <v/>
      </c>
      <c r="D257" t="str">
        <v/>
      </c>
      <c r="E257" t="str">
        <v/>
      </c>
      <c r="F257" t="str">
        <v/>
      </c>
      <c r="G257" t="str">
        <v/>
      </c>
      <c r="H257" t="str">
        <v/>
      </c>
      <c r="I257" t="str">
        <v/>
      </c>
      <c r="J257" t="str">
        <v/>
      </c>
      <c r="K257" t="str">
        <v/>
      </c>
      <c r="L257" t="str">
        <v/>
      </c>
      <c r="M257" t="str">
        <v/>
      </c>
      <c r="N257" t="str">
        <v/>
      </c>
      <c r="O257" t="str">
        <v/>
      </c>
      <c r="P257" t="str">
        <v/>
      </c>
      <c r="Q257" t="str">
        <v/>
      </c>
      <c r="R257" t="str">
        <v/>
      </c>
    </row>
    <row r="258">
      <c r="A258" t="str">
        <v/>
      </c>
      <c r="B258" t="str">
        <v/>
      </c>
      <c r="C258" t="str">
        <v/>
      </c>
      <c r="D258" t="str">
        <v/>
      </c>
      <c r="E258" t="str">
        <v/>
      </c>
      <c r="F258" t="str">
        <v/>
      </c>
      <c r="G258" t="str">
        <v/>
      </c>
      <c r="H258" t="str">
        <v/>
      </c>
      <c r="I258" t="str">
        <v/>
      </c>
      <c r="J258" t="str">
        <v/>
      </c>
      <c r="K258" t="str">
        <v/>
      </c>
      <c r="L258" t="str">
        <v/>
      </c>
      <c r="M258" t="str">
        <v/>
      </c>
      <c r="N258" t="str">
        <v/>
      </c>
      <c r="O258" t="str">
        <v/>
      </c>
      <c r="P258" t="str">
        <v/>
      </c>
      <c r="Q258" t="str">
        <v/>
      </c>
      <c r="R258" t="str">
        <v/>
      </c>
    </row>
    <row r="259">
      <c r="A259" t="str">
        <v/>
      </c>
      <c r="B259" t="str">
        <v/>
      </c>
      <c r="C259" t="str">
        <v/>
      </c>
      <c r="D259" t="str">
        <v/>
      </c>
      <c r="E259" t="str">
        <v/>
      </c>
      <c r="F259" t="str">
        <v/>
      </c>
      <c r="G259" t="str">
        <v/>
      </c>
      <c r="H259" t="str">
        <v/>
      </c>
      <c r="I259" t="str">
        <v/>
      </c>
      <c r="J259" t="str">
        <v/>
      </c>
      <c r="K259" t="str">
        <v/>
      </c>
      <c r="L259" t="str">
        <v/>
      </c>
      <c r="M259" t="str">
        <v/>
      </c>
      <c r="N259" t="str">
        <v/>
      </c>
      <c r="O259" t="str">
        <v/>
      </c>
      <c r="P259" t="str">
        <v/>
      </c>
      <c r="Q259" t="str">
        <v/>
      </c>
      <c r="R259" t="str">
        <v/>
      </c>
    </row>
    <row r="260">
      <c r="A260" t="str">
        <v/>
      </c>
      <c r="B260" t="str">
        <v/>
      </c>
      <c r="C260" t="str">
        <v/>
      </c>
      <c r="D260" t="str">
        <v/>
      </c>
      <c r="E260" t="str">
        <v/>
      </c>
      <c r="F260" t="str">
        <v/>
      </c>
      <c r="G260" t="str">
        <v/>
      </c>
      <c r="H260" t="str">
        <v/>
      </c>
      <c r="I260" t="str">
        <v/>
      </c>
      <c r="J260" t="str">
        <v/>
      </c>
      <c r="K260" t="str">
        <v/>
      </c>
      <c r="L260" t="str">
        <v/>
      </c>
      <c r="M260" t="str">
        <v/>
      </c>
      <c r="N260" t="str">
        <v/>
      </c>
      <c r="O260" t="str">
        <v/>
      </c>
      <c r="P260" t="str">
        <v/>
      </c>
      <c r="Q260" t="str">
        <v/>
      </c>
      <c r="R260" t="str">
        <v/>
      </c>
    </row>
    <row r="261">
      <c r="A261" t="str">
        <v/>
      </c>
      <c r="B261" t="str">
        <v/>
      </c>
      <c r="C261" t="str">
        <v/>
      </c>
      <c r="D261" t="str">
        <v/>
      </c>
      <c r="E261" t="str">
        <v/>
      </c>
      <c r="F261" t="str">
        <v/>
      </c>
      <c r="G261" t="str">
        <v/>
      </c>
      <c r="H261" t="str">
        <v/>
      </c>
      <c r="I261" t="str">
        <v/>
      </c>
      <c r="J261" t="str">
        <v/>
      </c>
      <c r="K261" t="str">
        <v/>
      </c>
      <c r="L261" t="str">
        <v/>
      </c>
      <c r="M261" t="str">
        <v/>
      </c>
      <c r="N261" t="str">
        <v/>
      </c>
      <c r="O261" t="str">
        <v/>
      </c>
      <c r="P261" t="str">
        <v/>
      </c>
      <c r="Q261" t="str">
        <v/>
      </c>
      <c r="R261" t="str">
        <v/>
      </c>
    </row>
    <row r="262">
      <c r="A262" t="str">
        <v/>
      </c>
      <c r="B262" t="str">
        <v/>
      </c>
      <c r="C262" t="str">
        <v/>
      </c>
      <c r="D262" t="str">
        <v/>
      </c>
      <c r="E262" t="str">
        <v/>
      </c>
      <c r="F262" t="str">
        <v/>
      </c>
      <c r="G262" t="str">
        <v/>
      </c>
      <c r="H262" t="str">
        <v/>
      </c>
      <c r="I262" t="str">
        <v/>
      </c>
      <c r="J262" t="str">
        <v/>
      </c>
      <c r="K262" t="str">
        <v/>
      </c>
      <c r="L262" t="str">
        <v/>
      </c>
      <c r="M262" t="str">
        <v/>
      </c>
      <c r="N262" t="str">
        <v/>
      </c>
      <c r="O262" t="str">
        <v/>
      </c>
      <c r="P262" t="str">
        <v/>
      </c>
      <c r="Q262" t="str">
        <v/>
      </c>
      <c r="R262" t="str">
        <v/>
      </c>
    </row>
    <row r="263">
      <c r="A263" t="str">
        <v/>
      </c>
      <c r="B263" t="str">
        <v/>
      </c>
      <c r="C263" t="str">
        <v/>
      </c>
      <c r="D263" t="str">
        <v/>
      </c>
      <c r="E263" t="str">
        <v/>
      </c>
      <c r="F263" t="str">
        <v/>
      </c>
      <c r="G263" t="str">
        <v/>
      </c>
      <c r="H263" t="str">
        <v/>
      </c>
      <c r="I263" t="str">
        <v/>
      </c>
      <c r="J263" t="str">
        <v/>
      </c>
      <c r="K263" t="str">
        <v/>
      </c>
      <c r="L263" t="str">
        <v/>
      </c>
      <c r="M263" t="str">
        <v/>
      </c>
      <c r="N263" t="str">
        <v/>
      </c>
      <c r="O263" t="str">
        <v/>
      </c>
      <c r="P263" t="str">
        <v/>
      </c>
      <c r="Q263" t="str">
        <v/>
      </c>
      <c r="R263" t="str">
        <v/>
      </c>
    </row>
    <row r="264">
      <c r="A264" t="str">
        <v/>
      </c>
      <c r="B264" t="str">
        <v/>
      </c>
      <c r="C264" t="str">
        <v/>
      </c>
      <c r="D264" t="str">
        <v/>
      </c>
      <c r="E264" t="str">
        <v/>
      </c>
      <c r="F264" t="str">
        <v/>
      </c>
      <c r="G264" t="str">
        <v/>
      </c>
      <c r="H264" t="str">
        <v/>
      </c>
      <c r="I264" t="str">
        <v/>
      </c>
      <c r="J264" t="str">
        <v/>
      </c>
      <c r="K264" t="str">
        <v/>
      </c>
      <c r="L264" t="str">
        <v/>
      </c>
      <c r="M264" t="str">
        <v/>
      </c>
      <c r="N264" t="str">
        <v/>
      </c>
      <c r="O264" t="str">
        <v/>
      </c>
      <c r="P264" t="str">
        <v/>
      </c>
      <c r="Q264" t="str">
        <v/>
      </c>
      <c r="R264" t="str">
        <v/>
      </c>
    </row>
    <row r="265">
      <c r="A265" t="str">
        <v/>
      </c>
      <c r="B265" t="str">
        <v/>
      </c>
      <c r="C265" t="str">
        <v/>
      </c>
      <c r="D265" t="str">
        <v/>
      </c>
      <c r="E265" t="str">
        <v/>
      </c>
      <c r="F265" t="str">
        <v/>
      </c>
      <c r="G265" t="str">
        <v/>
      </c>
      <c r="H265" t="str">
        <v/>
      </c>
      <c r="I265" t="str">
        <v/>
      </c>
      <c r="J265" t="str">
        <v/>
      </c>
      <c r="K265" t="str">
        <v/>
      </c>
      <c r="L265" t="str">
        <v/>
      </c>
      <c r="M265" t="str">
        <v/>
      </c>
      <c r="N265" t="str">
        <v/>
      </c>
      <c r="O265" t="str">
        <v/>
      </c>
      <c r="P265" t="str">
        <v/>
      </c>
      <c r="Q265" t="str">
        <v/>
      </c>
      <c r="R265" t="str">
        <v/>
      </c>
    </row>
    <row r="266">
      <c r="A266" t="str">
        <v/>
      </c>
      <c r="B266" t="str">
        <v/>
      </c>
      <c r="C266" t="str">
        <v/>
      </c>
      <c r="D266" t="str">
        <v/>
      </c>
      <c r="E266" t="str">
        <v/>
      </c>
      <c r="F266" t="str">
        <v/>
      </c>
      <c r="G266" t="str">
        <v/>
      </c>
      <c r="H266" t="str">
        <v/>
      </c>
      <c r="I266" t="str">
        <v/>
      </c>
      <c r="J266" t="str">
        <v/>
      </c>
      <c r="K266" t="str">
        <v/>
      </c>
      <c r="L266" t="str">
        <v/>
      </c>
      <c r="M266" t="str">
        <v/>
      </c>
      <c r="N266" t="str">
        <v/>
      </c>
      <c r="O266" t="str">
        <v/>
      </c>
      <c r="P266" t="str">
        <v/>
      </c>
      <c r="Q266" t="str">
        <v/>
      </c>
      <c r="R266" t="str">
        <v/>
      </c>
    </row>
    <row r="267">
      <c r="A267" t="str">
        <v/>
      </c>
      <c r="B267" t="str">
        <v/>
      </c>
      <c r="C267" t="str">
        <v/>
      </c>
      <c r="D267" t="str">
        <v/>
      </c>
      <c r="E267" t="str">
        <v/>
      </c>
      <c r="F267" t="str">
        <v/>
      </c>
      <c r="G267" t="str">
        <v/>
      </c>
      <c r="H267" t="str">
        <v/>
      </c>
      <c r="I267" t="str">
        <v/>
      </c>
      <c r="J267" t="str">
        <v/>
      </c>
      <c r="K267" t="str">
        <v/>
      </c>
      <c r="L267" t="str">
        <v/>
      </c>
      <c r="M267" t="str">
        <v/>
      </c>
      <c r="N267" t="str">
        <v/>
      </c>
      <c r="O267" t="str">
        <v/>
      </c>
      <c r="P267" t="str">
        <v/>
      </c>
      <c r="Q267" t="str">
        <v/>
      </c>
      <c r="R267" t="str">
        <v/>
      </c>
    </row>
    <row r="268">
      <c r="A268" t="str">
        <v/>
      </c>
      <c r="B268" t="str">
        <v/>
      </c>
      <c r="C268" t="str">
        <v/>
      </c>
      <c r="D268" t="str">
        <v/>
      </c>
      <c r="E268" t="str">
        <v/>
      </c>
      <c r="F268" t="str">
        <v/>
      </c>
      <c r="G268" t="str">
        <v/>
      </c>
      <c r="H268" t="str">
        <v/>
      </c>
      <c r="I268" t="str">
        <v/>
      </c>
      <c r="J268" t="str">
        <v/>
      </c>
      <c r="K268" t="str">
        <v/>
      </c>
      <c r="L268" t="str">
        <v/>
      </c>
      <c r="M268" t="str">
        <v/>
      </c>
      <c r="N268" t="str">
        <v/>
      </c>
      <c r="O268" t="str">
        <v/>
      </c>
      <c r="P268" t="str">
        <v/>
      </c>
      <c r="Q268" t="str">
        <v/>
      </c>
      <c r="R268" t="str">
        <v/>
      </c>
    </row>
    <row r="269">
      <c r="A269" t="str">
        <v/>
      </c>
      <c r="B269" t="str">
        <v/>
      </c>
      <c r="C269" t="str">
        <v/>
      </c>
      <c r="D269" t="str">
        <v/>
      </c>
      <c r="E269" t="str">
        <v/>
      </c>
      <c r="F269" t="str">
        <v/>
      </c>
      <c r="G269" t="str">
        <v/>
      </c>
      <c r="H269" t="str">
        <v/>
      </c>
      <c r="I269" t="str">
        <v/>
      </c>
      <c r="J269" t="str">
        <v/>
      </c>
      <c r="K269" t="str">
        <v/>
      </c>
      <c r="L269" t="str">
        <v/>
      </c>
      <c r="M269" t="str">
        <v/>
      </c>
      <c r="N269" t="str">
        <v/>
      </c>
      <c r="O269" t="str">
        <v/>
      </c>
      <c r="P269" t="str">
        <v/>
      </c>
      <c r="Q269" t="str">
        <v/>
      </c>
      <c r="R269" t="str">
        <v/>
      </c>
    </row>
    <row r="270">
      <c r="A270" t="str">
        <v/>
      </c>
      <c r="B270" t="str">
        <v/>
      </c>
      <c r="C270" t="str">
        <v/>
      </c>
      <c r="D270" t="str">
        <v/>
      </c>
      <c r="E270" t="str">
        <v/>
      </c>
      <c r="F270" t="str">
        <v/>
      </c>
      <c r="G270" t="str">
        <v/>
      </c>
      <c r="H270" t="str">
        <v/>
      </c>
      <c r="I270" t="str">
        <v/>
      </c>
      <c r="J270" t="str">
        <v/>
      </c>
      <c r="K270" t="str">
        <v/>
      </c>
      <c r="L270" t="str">
        <v/>
      </c>
      <c r="M270" t="str">
        <v/>
      </c>
      <c r="N270" t="str">
        <v/>
      </c>
      <c r="O270" t="str">
        <v/>
      </c>
      <c r="P270" t="str">
        <v/>
      </c>
      <c r="Q270" t="str">
        <v/>
      </c>
      <c r="R270" t="str">
        <v/>
      </c>
    </row>
    <row r="271">
      <c r="A271" t="str">
        <v/>
      </c>
      <c r="B271" t="str">
        <v/>
      </c>
      <c r="C271" t="str">
        <v/>
      </c>
      <c r="D271" t="str">
        <v/>
      </c>
      <c r="E271" t="str">
        <v/>
      </c>
      <c r="F271" t="str">
        <v/>
      </c>
      <c r="G271" t="str">
        <v/>
      </c>
      <c r="H271" t="str">
        <v/>
      </c>
      <c r="I271" t="str">
        <v/>
      </c>
      <c r="J271" t="str">
        <v/>
      </c>
      <c r="K271" t="str">
        <v/>
      </c>
      <c r="L271" t="str">
        <v/>
      </c>
      <c r="M271" t="str">
        <v/>
      </c>
      <c r="N271" t="str">
        <v/>
      </c>
      <c r="O271" t="str">
        <v/>
      </c>
      <c r="P271" t="str">
        <v/>
      </c>
      <c r="Q271" t="str">
        <v/>
      </c>
      <c r="R271" t="str">
        <v/>
      </c>
    </row>
    <row r="272">
      <c r="A272" t="str">
        <v/>
      </c>
      <c r="B272" t="str">
        <v/>
      </c>
      <c r="C272" t="str">
        <v/>
      </c>
      <c r="D272" t="str">
        <v/>
      </c>
      <c r="E272" t="str">
        <v/>
      </c>
      <c r="F272" t="str">
        <v/>
      </c>
      <c r="G272" t="str">
        <v/>
      </c>
      <c r="H272" t="str">
        <v/>
      </c>
      <c r="I272" t="str">
        <v/>
      </c>
      <c r="J272" t="str">
        <v/>
      </c>
      <c r="K272" t="str">
        <v/>
      </c>
      <c r="L272" t="str">
        <v/>
      </c>
      <c r="M272" t="str">
        <v/>
      </c>
      <c r="N272" t="str">
        <v/>
      </c>
      <c r="O272" t="str">
        <v/>
      </c>
      <c r="P272" t="str">
        <v/>
      </c>
      <c r="Q272" t="str">
        <v/>
      </c>
      <c r="R272" t="str">
        <v/>
      </c>
    </row>
    <row r="273">
      <c r="A273" t="str">
        <v/>
      </c>
      <c r="B273" t="str">
        <v/>
      </c>
      <c r="C273" t="str">
        <v/>
      </c>
      <c r="D273" t="str">
        <v/>
      </c>
      <c r="E273" t="str">
        <v/>
      </c>
      <c r="F273" t="str">
        <v/>
      </c>
      <c r="G273" t="str">
        <v/>
      </c>
      <c r="H273" t="str">
        <v/>
      </c>
      <c r="I273" t="str">
        <v/>
      </c>
      <c r="J273" t="str">
        <v/>
      </c>
      <c r="K273" t="str">
        <v/>
      </c>
      <c r="L273" t="str">
        <v/>
      </c>
      <c r="M273" t="str">
        <v/>
      </c>
      <c r="N273" t="str">
        <v/>
      </c>
      <c r="O273" t="str">
        <v/>
      </c>
      <c r="P273" t="str">
        <v/>
      </c>
      <c r="Q273" t="str">
        <v/>
      </c>
      <c r="R273" t="str">
        <v/>
      </c>
    </row>
    <row r="274">
      <c r="A274" t="str">
        <v/>
      </c>
      <c r="B274" t="str">
        <v/>
      </c>
      <c r="C274" t="str">
        <v/>
      </c>
      <c r="D274" t="str">
        <v/>
      </c>
      <c r="E274" t="str">
        <v/>
      </c>
      <c r="F274" t="str">
        <v/>
      </c>
      <c r="G274" t="str">
        <v/>
      </c>
      <c r="H274" t="str">
        <v/>
      </c>
      <c r="I274" t="str">
        <v/>
      </c>
      <c r="J274" t="str">
        <v/>
      </c>
      <c r="K274" t="str">
        <v/>
      </c>
      <c r="L274" t="str">
        <v/>
      </c>
      <c r="M274" t="str">
        <v/>
      </c>
      <c r="N274" t="str">
        <v/>
      </c>
      <c r="O274" t="str">
        <v/>
      </c>
      <c r="P274" t="str">
        <v/>
      </c>
      <c r="Q274" t="str">
        <v/>
      </c>
      <c r="R274" t="str">
        <v/>
      </c>
    </row>
    <row r="275">
      <c r="A275" t="str">
        <v/>
      </c>
      <c r="B275" t="str">
        <v/>
      </c>
      <c r="C275" t="str">
        <v/>
      </c>
      <c r="D275" t="str">
        <v/>
      </c>
      <c r="E275" t="str">
        <v/>
      </c>
      <c r="F275" t="str">
        <v/>
      </c>
      <c r="G275" t="str">
        <v/>
      </c>
      <c r="H275" t="str">
        <v/>
      </c>
      <c r="I275" t="str">
        <v/>
      </c>
      <c r="J275" t="str">
        <v/>
      </c>
      <c r="K275" t="str">
        <v/>
      </c>
      <c r="L275" t="str">
        <v/>
      </c>
      <c r="M275" t="str">
        <v/>
      </c>
      <c r="N275" t="str">
        <v/>
      </c>
      <c r="O275" t="str">
        <v/>
      </c>
      <c r="P275" t="str">
        <v/>
      </c>
      <c r="Q275" t="str">
        <v/>
      </c>
      <c r="R275" t="str">
        <v/>
      </c>
    </row>
    <row r="276">
      <c r="A276" t="str">
        <v/>
      </c>
      <c r="B276" t="str">
        <v/>
      </c>
      <c r="C276" t="str">
        <v/>
      </c>
      <c r="D276" t="str">
        <v/>
      </c>
      <c r="E276" t="str">
        <v/>
      </c>
      <c r="F276" t="str">
        <v/>
      </c>
      <c r="G276" t="str">
        <v/>
      </c>
      <c r="H276" t="str">
        <v/>
      </c>
      <c r="I276" t="str">
        <v/>
      </c>
      <c r="J276" t="str">
        <v/>
      </c>
      <c r="K276" t="str">
        <v/>
      </c>
      <c r="L276" t="str">
        <v/>
      </c>
      <c r="M276" t="str">
        <v/>
      </c>
      <c r="N276" t="str">
        <v/>
      </c>
      <c r="O276" t="str">
        <v/>
      </c>
      <c r="P276" t="str">
        <v/>
      </c>
      <c r="Q276" t="str">
        <v/>
      </c>
      <c r="R276" t="str">
        <v/>
      </c>
    </row>
    <row r="277">
      <c r="A277" t="str">
        <v/>
      </c>
      <c r="B277" t="str">
        <v/>
      </c>
      <c r="C277" t="str">
        <v/>
      </c>
      <c r="D277" t="str">
        <v/>
      </c>
      <c r="E277" t="str">
        <v/>
      </c>
      <c r="F277" t="str">
        <v/>
      </c>
      <c r="G277" t="str">
        <v/>
      </c>
      <c r="H277" t="str">
        <v/>
      </c>
      <c r="I277" t="str">
        <v/>
      </c>
      <c r="J277" t="str">
        <v/>
      </c>
      <c r="K277" t="str">
        <v/>
      </c>
      <c r="L277" t="str">
        <v/>
      </c>
      <c r="M277" t="str">
        <v/>
      </c>
      <c r="N277" t="str">
        <v/>
      </c>
      <c r="O277" t="str">
        <v/>
      </c>
      <c r="P277" t="str">
        <v/>
      </c>
      <c r="Q277" t="str">
        <v/>
      </c>
      <c r="R277" t="str">
        <v/>
      </c>
    </row>
    <row r="278">
      <c r="A278" t="str">
        <v/>
      </c>
      <c r="B278" t="str">
        <v/>
      </c>
      <c r="C278" t="str">
        <v/>
      </c>
      <c r="D278" t="str">
        <v/>
      </c>
      <c r="E278" t="str">
        <v/>
      </c>
      <c r="F278" t="str">
        <v/>
      </c>
      <c r="G278" t="str">
        <v/>
      </c>
      <c r="H278" t="str">
        <v/>
      </c>
      <c r="I278" t="str">
        <v/>
      </c>
      <c r="J278" t="str">
        <v/>
      </c>
      <c r="K278" t="str">
        <v/>
      </c>
      <c r="L278" t="str">
        <v/>
      </c>
      <c r="M278" t="str">
        <v/>
      </c>
      <c r="N278" t="str">
        <v/>
      </c>
      <c r="O278" t="str">
        <v/>
      </c>
      <c r="P278" t="str">
        <v/>
      </c>
      <c r="Q278" t="str">
        <v/>
      </c>
      <c r="R278" t="str">
        <v/>
      </c>
    </row>
    <row r="279">
      <c r="A279" t="str">
        <v/>
      </c>
      <c r="B279" t="str">
        <v/>
      </c>
      <c r="C279" t="str">
        <v/>
      </c>
      <c r="D279" t="str">
        <v/>
      </c>
      <c r="E279" t="str">
        <v/>
      </c>
      <c r="F279" t="str">
        <v/>
      </c>
      <c r="G279" t="str">
        <v/>
      </c>
      <c r="H279" t="str">
        <v/>
      </c>
      <c r="I279" t="str">
        <v/>
      </c>
      <c r="J279" t="str">
        <v/>
      </c>
      <c r="K279" t="str">
        <v/>
      </c>
      <c r="L279" t="str">
        <v/>
      </c>
      <c r="M279" t="str">
        <v/>
      </c>
      <c r="N279" t="str">
        <v/>
      </c>
      <c r="O279" t="str">
        <v/>
      </c>
      <c r="P279" t="str">
        <v/>
      </c>
      <c r="Q279" t="str">
        <v/>
      </c>
      <c r="R279" t="str">
        <v/>
      </c>
    </row>
    <row r="280">
      <c r="A280" t="str">
        <v/>
      </c>
      <c r="B280" t="str">
        <v/>
      </c>
      <c r="C280" t="str">
        <v/>
      </c>
      <c r="D280" t="str">
        <v/>
      </c>
      <c r="E280" t="str">
        <v/>
      </c>
      <c r="F280" t="str">
        <v/>
      </c>
      <c r="G280" t="str">
        <v/>
      </c>
      <c r="H280" t="str">
        <v/>
      </c>
      <c r="I280" t="str">
        <v/>
      </c>
      <c r="J280" t="str">
        <v/>
      </c>
      <c r="K280" t="str">
        <v/>
      </c>
      <c r="L280" t="str">
        <v/>
      </c>
      <c r="M280" t="str">
        <v/>
      </c>
      <c r="N280" t="str">
        <v/>
      </c>
      <c r="O280" t="str">
        <v/>
      </c>
      <c r="P280" t="str">
        <v/>
      </c>
      <c r="Q280" t="str">
        <v/>
      </c>
      <c r="R280" t="str">
        <v/>
      </c>
    </row>
    <row r="281">
      <c r="A281" t="str">
        <v/>
      </c>
      <c r="B281" t="str">
        <v/>
      </c>
      <c r="C281" t="str">
        <v/>
      </c>
      <c r="D281" t="str">
        <v/>
      </c>
      <c r="E281" t="str">
        <v/>
      </c>
      <c r="F281" t="str">
        <v/>
      </c>
      <c r="G281" t="str">
        <v/>
      </c>
      <c r="H281" t="str">
        <v/>
      </c>
      <c r="I281" t="str">
        <v/>
      </c>
      <c r="J281" t="str">
        <v/>
      </c>
      <c r="K281" t="str">
        <v/>
      </c>
      <c r="L281" t="str">
        <v/>
      </c>
      <c r="M281" t="str">
        <v/>
      </c>
      <c r="N281" t="str">
        <v/>
      </c>
      <c r="O281" t="str">
        <v/>
      </c>
      <c r="P281" t="str">
        <v/>
      </c>
      <c r="Q281" t="str">
        <v/>
      </c>
      <c r="R281" t="str">
        <v/>
      </c>
    </row>
    <row r="282">
      <c r="A282" t="str">
        <v/>
      </c>
      <c r="B282" t="str">
        <v/>
      </c>
      <c r="C282" t="str">
        <v/>
      </c>
      <c r="D282" t="str">
        <v/>
      </c>
      <c r="E282" t="str">
        <v/>
      </c>
      <c r="F282" t="str">
        <v/>
      </c>
      <c r="G282" t="str">
        <v/>
      </c>
      <c r="H282" t="str">
        <v/>
      </c>
      <c r="I282" t="str">
        <v/>
      </c>
      <c r="J282" t="str">
        <v/>
      </c>
      <c r="K282" t="str">
        <v/>
      </c>
      <c r="L282" t="str">
        <v/>
      </c>
      <c r="M282" t="str">
        <v/>
      </c>
      <c r="N282" t="str">
        <v/>
      </c>
      <c r="O282" t="str">
        <v/>
      </c>
      <c r="P282" t="str">
        <v/>
      </c>
      <c r="Q282" t="str">
        <v/>
      </c>
      <c r="R282" t="str">
        <v/>
      </c>
    </row>
    <row r="283">
      <c r="A283" t="str">
        <v/>
      </c>
      <c r="B283" t="str">
        <v/>
      </c>
      <c r="C283" t="str">
        <v/>
      </c>
      <c r="D283" t="str">
        <v/>
      </c>
      <c r="E283" t="str">
        <v/>
      </c>
      <c r="F283" t="str">
        <v/>
      </c>
      <c r="G283" t="str">
        <v/>
      </c>
      <c r="H283" t="str">
        <v/>
      </c>
      <c r="I283" t="str">
        <v/>
      </c>
      <c r="J283" t="str">
        <v/>
      </c>
      <c r="K283" t="str">
        <v/>
      </c>
      <c r="L283" t="str">
        <v/>
      </c>
      <c r="M283" t="str">
        <v/>
      </c>
      <c r="N283" t="str">
        <v/>
      </c>
      <c r="O283" t="str">
        <v/>
      </c>
      <c r="P283" t="str">
        <v/>
      </c>
      <c r="Q283" t="str">
        <v/>
      </c>
      <c r="R283" t="str">
        <v/>
      </c>
    </row>
    <row r="284">
      <c r="A284" t="str">
        <v/>
      </c>
      <c r="B284" t="str">
        <v/>
      </c>
      <c r="C284" t="str">
        <v/>
      </c>
      <c r="D284" t="str">
        <v/>
      </c>
      <c r="E284" t="str">
        <v/>
      </c>
      <c r="F284" t="str">
        <v/>
      </c>
      <c r="G284" t="str">
        <v/>
      </c>
      <c r="H284" t="str">
        <v/>
      </c>
      <c r="I284" t="str">
        <v/>
      </c>
      <c r="J284" t="str">
        <v/>
      </c>
      <c r="K284" t="str">
        <v/>
      </c>
      <c r="L284" t="str">
        <v/>
      </c>
      <c r="M284" t="str">
        <v/>
      </c>
      <c r="N284" t="str">
        <v/>
      </c>
      <c r="O284" t="str">
        <v/>
      </c>
      <c r="P284" t="str">
        <v/>
      </c>
      <c r="Q284" t="str">
        <v/>
      </c>
      <c r="R284" t="str">
        <v/>
      </c>
    </row>
    <row r="285">
      <c r="A285" t="str">
        <v/>
      </c>
      <c r="B285" t="str">
        <v/>
      </c>
      <c r="C285" t="str">
        <v/>
      </c>
      <c r="D285" t="str">
        <v/>
      </c>
      <c r="E285" t="str">
        <v/>
      </c>
      <c r="F285" t="str">
        <v/>
      </c>
      <c r="G285" t="str">
        <v/>
      </c>
      <c r="H285" t="str">
        <v/>
      </c>
      <c r="I285" t="str">
        <v/>
      </c>
      <c r="J285" t="str">
        <v/>
      </c>
      <c r="K285" t="str">
        <v/>
      </c>
      <c r="L285" t="str">
        <v/>
      </c>
      <c r="M285" t="str">
        <v/>
      </c>
      <c r="N285" t="str">
        <v/>
      </c>
      <c r="O285" t="str">
        <v/>
      </c>
      <c r="P285" t="str">
        <v/>
      </c>
      <c r="Q285" t="str">
        <v/>
      </c>
      <c r="R285" t="str">
        <v/>
      </c>
    </row>
    <row r="286">
      <c r="A286" t="str">
        <v/>
      </c>
      <c r="B286" t="str">
        <v/>
      </c>
      <c r="C286" t="str">
        <v/>
      </c>
      <c r="D286" t="str">
        <v/>
      </c>
      <c r="E286" t="str">
        <v/>
      </c>
      <c r="F286" t="str">
        <v/>
      </c>
      <c r="G286" t="str">
        <v/>
      </c>
      <c r="H286" t="str">
        <v/>
      </c>
      <c r="I286" t="str">
        <v/>
      </c>
      <c r="J286" t="str">
        <v/>
      </c>
      <c r="K286" t="str">
        <v/>
      </c>
      <c r="L286" t="str">
        <v/>
      </c>
      <c r="M286" t="str">
        <v/>
      </c>
      <c r="N286" t="str">
        <v/>
      </c>
      <c r="O286" t="str">
        <v/>
      </c>
      <c r="P286" t="str">
        <v/>
      </c>
      <c r="Q286" t="str">
        <v/>
      </c>
      <c r="R286" t="str">
        <v/>
      </c>
    </row>
    <row r="287">
      <c r="A287" t="str">
        <v/>
      </c>
      <c r="B287" t="str">
        <v/>
      </c>
      <c r="C287" t="str">
        <v/>
      </c>
      <c r="D287" t="str">
        <v/>
      </c>
      <c r="E287" t="str">
        <v/>
      </c>
      <c r="F287" t="str">
        <v/>
      </c>
      <c r="G287" t="str">
        <v/>
      </c>
      <c r="H287" t="str">
        <v/>
      </c>
      <c r="I287" t="str">
        <v/>
      </c>
      <c r="J287" t="str">
        <v/>
      </c>
      <c r="K287" t="str">
        <v/>
      </c>
      <c r="L287" t="str">
        <v/>
      </c>
      <c r="M287" t="str">
        <v/>
      </c>
      <c r="N287" t="str">
        <v/>
      </c>
      <c r="O287" t="str">
        <v/>
      </c>
      <c r="P287" t="str">
        <v/>
      </c>
      <c r="Q287" t="str">
        <v/>
      </c>
      <c r="R287" t="str">
        <v/>
      </c>
    </row>
    <row r="288">
      <c r="A288" t="str">
        <v/>
      </c>
      <c r="B288" t="str">
        <v/>
      </c>
      <c r="C288" t="str">
        <v/>
      </c>
      <c r="D288" t="str">
        <v/>
      </c>
      <c r="E288" t="str">
        <v/>
      </c>
      <c r="F288" t="str">
        <v/>
      </c>
      <c r="G288" t="str">
        <v/>
      </c>
      <c r="H288" t="str">
        <v/>
      </c>
      <c r="I288" t="str">
        <v/>
      </c>
      <c r="J288" t="str">
        <v/>
      </c>
      <c r="K288" t="str">
        <v/>
      </c>
      <c r="L288" t="str">
        <v/>
      </c>
      <c r="M288" t="str">
        <v/>
      </c>
      <c r="N288" t="str">
        <v/>
      </c>
      <c r="O288" t="str">
        <v/>
      </c>
      <c r="P288" t="str">
        <v/>
      </c>
      <c r="Q288" t="str">
        <v/>
      </c>
      <c r="R288" t="str">
        <v/>
      </c>
    </row>
    <row r="289">
      <c r="A289" t="str">
        <v/>
      </c>
      <c r="B289" t="str">
        <v/>
      </c>
      <c r="C289" t="str">
        <v/>
      </c>
      <c r="D289" t="str">
        <v/>
      </c>
      <c r="E289" t="str">
        <v/>
      </c>
      <c r="F289" t="str">
        <v/>
      </c>
      <c r="G289" t="str">
        <v/>
      </c>
      <c r="H289" t="str">
        <v/>
      </c>
      <c r="I289" t="str">
        <v/>
      </c>
      <c r="J289" t="str">
        <v/>
      </c>
      <c r="K289" t="str">
        <v/>
      </c>
      <c r="L289" t="str">
        <v/>
      </c>
      <c r="M289" t="str">
        <v/>
      </c>
      <c r="N289" t="str">
        <v/>
      </c>
      <c r="O289" t="str">
        <v/>
      </c>
      <c r="P289" t="str">
        <v/>
      </c>
      <c r="Q289" t="str">
        <v/>
      </c>
      <c r="R289" t="str">
        <v/>
      </c>
    </row>
    <row r="290">
      <c r="A290" t="str">
        <v/>
      </c>
      <c r="B290" t="str">
        <v/>
      </c>
      <c r="C290" t="str">
        <v/>
      </c>
      <c r="D290" t="str">
        <v/>
      </c>
      <c r="E290" t="str">
        <v/>
      </c>
      <c r="F290" t="str">
        <v/>
      </c>
      <c r="G290" t="str">
        <v/>
      </c>
      <c r="H290" t="str">
        <v/>
      </c>
      <c r="I290" t="str">
        <v/>
      </c>
      <c r="J290" t="str">
        <v/>
      </c>
      <c r="K290" t="str">
        <v/>
      </c>
      <c r="L290" t="str">
        <v/>
      </c>
      <c r="M290" t="str">
        <v/>
      </c>
      <c r="N290" t="str">
        <v/>
      </c>
      <c r="O290" t="str">
        <v/>
      </c>
      <c r="P290" t="str">
        <v/>
      </c>
      <c r="Q290" t="str">
        <v/>
      </c>
      <c r="R290" t="str">
        <v/>
      </c>
    </row>
    <row r="291">
      <c r="A291" t="str">
        <v/>
      </c>
      <c r="B291" t="str">
        <v/>
      </c>
      <c r="C291" t="str">
        <v/>
      </c>
      <c r="D291" t="str">
        <v/>
      </c>
      <c r="E291" t="str">
        <v/>
      </c>
      <c r="F291" t="str">
        <v/>
      </c>
      <c r="G291" t="str">
        <v/>
      </c>
      <c r="H291" t="str">
        <v/>
      </c>
      <c r="I291" t="str">
        <v/>
      </c>
      <c r="J291" t="str">
        <v/>
      </c>
      <c r="K291" t="str">
        <v/>
      </c>
      <c r="L291" t="str">
        <v/>
      </c>
      <c r="M291" t="str">
        <v/>
      </c>
      <c r="N291" t="str">
        <v/>
      </c>
      <c r="O291" t="str">
        <v/>
      </c>
      <c r="P291" t="str">
        <v/>
      </c>
      <c r="Q291" t="str">
        <v/>
      </c>
      <c r="R291" t="str">
        <v/>
      </c>
    </row>
    <row r="292">
      <c r="A292" t="str">
        <v/>
      </c>
      <c r="B292" t="str">
        <v/>
      </c>
      <c r="C292" t="str">
        <v/>
      </c>
      <c r="D292" t="str">
        <v/>
      </c>
      <c r="E292" t="str">
        <v/>
      </c>
      <c r="F292" t="str">
        <v/>
      </c>
      <c r="G292" t="str">
        <v/>
      </c>
      <c r="H292" t="str">
        <v/>
      </c>
      <c r="I292" t="str">
        <v/>
      </c>
      <c r="J292" t="str">
        <v/>
      </c>
      <c r="K292" t="str">
        <v/>
      </c>
      <c r="L292" t="str">
        <v/>
      </c>
      <c r="M292" t="str">
        <v/>
      </c>
      <c r="N292" t="str">
        <v/>
      </c>
      <c r="O292" t="str">
        <v/>
      </c>
      <c r="P292" t="str">
        <v/>
      </c>
      <c r="Q292" t="str">
        <v/>
      </c>
      <c r="R292" t="str">
        <v/>
      </c>
    </row>
    <row r="293">
      <c r="A293" t="str">
        <v/>
      </c>
      <c r="B293" t="str">
        <v/>
      </c>
      <c r="C293" t="str">
        <v/>
      </c>
      <c r="D293" t="str">
        <v/>
      </c>
      <c r="E293" t="str">
        <v/>
      </c>
      <c r="F293" t="str">
        <v/>
      </c>
      <c r="G293" t="str">
        <v/>
      </c>
      <c r="H293" t="str">
        <v/>
      </c>
      <c r="I293" t="str">
        <v/>
      </c>
      <c r="J293" t="str">
        <v/>
      </c>
      <c r="K293" t="str">
        <v/>
      </c>
      <c r="L293" t="str">
        <v/>
      </c>
      <c r="M293" t="str">
        <v/>
      </c>
      <c r="N293" t="str">
        <v/>
      </c>
      <c r="O293" t="str">
        <v/>
      </c>
      <c r="P293" t="str">
        <v/>
      </c>
      <c r="Q293" t="str">
        <v/>
      </c>
      <c r="R293" t="str">
        <v/>
      </c>
    </row>
    <row r="294">
      <c r="A294" t="str">
        <v/>
      </c>
      <c r="B294" t="str">
        <v/>
      </c>
      <c r="C294" t="str">
        <v/>
      </c>
      <c r="D294" t="str">
        <v/>
      </c>
      <c r="E294" t="str">
        <v/>
      </c>
      <c r="F294" t="str">
        <v/>
      </c>
      <c r="G294" t="str">
        <v/>
      </c>
      <c r="H294" t="str">
        <v/>
      </c>
      <c r="I294" t="str">
        <v/>
      </c>
      <c r="J294" t="str">
        <v/>
      </c>
      <c r="K294" t="str">
        <v/>
      </c>
      <c r="L294" t="str">
        <v/>
      </c>
      <c r="M294" t="str">
        <v/>
      </c>
      <c r="N294" t="str">
        <v/>
      </c>
      <c r="O294" t="str">
        <v/>
      </c>
      <c r="P294" t="str">
        <v/>
      </c>
      <c r="Q294" t="str">
        <v/>
      </c>
      <c r="R294" t="str">
        <v/>
      </c>
    </row>
    <row r="295">
      <c r="A295" t="str">
        <v/>
      </c>
      <c r="B295" t="str">
        <v/>
      </c>
      <c r="C295" t="str">
        <v/>
      </c>
      <c r="D295" t="str">
        <v/>
      </c>
      <c r="E295" t="str">
        <v/>
      </c>
      <c r="F295" t="str">
        <v/>
      </c>
      <c r="G295" t="str">
        <v/>
      </c>
      <c r="H295" t="str">
        <v/>
      </c>
      <c r="I295" t="str">
        <v/>
      </c>
      <c r="J295" t="str">
        <v/>
      </c>
      <c r="K295" t="str">
        <v/>
      </c>
      <c r="L295" t="str">
        <v/>
      </c>
      <c r="M295" t="str">
        <v/>
      </c>
      <c r="N295" t="str">
        <v/>
      </c>
      <c r="O295" t="str">
        <v/>
      </c>
      <c r="P295" t="str">
        <v/>
      </c>
      <c r="Q295" t="str">
        <v/>
      </c>
      <c r="R295" t="str">
        <v/>
      </c>
    </row>
    <row r="296">
      <c r="A296" t="str">
        <v/>
      </c>
      <c r="B296" t="str">
        <v/>
      </c>
      <c r="C296" t="str">
        <v/>
      </c>
      <c r="D296" t="str">
        <v/>
      </c>
      <c r="E296" t="str">
        <v/>
      </c>
      <c r="F296" t="str">
        <v/>
      </c>
      <c r="G296" t="str">
        <v/>
      </c>
      <c r="H296" t="str">
        <v/>
      </c>
      <c r="I296" t="str">
        <v/>
      </c>
      <c r="J296" t="str">
        <v/>
      </c>
      <c r="K296" t="str">
        <v/>
      </c>
      <c r="L296" t="str">
        <v/>
      </c>
      <c r="M296" t="str">
        <v/>
      </c>
      <c r="N296" t="str">
        <v/>
      </c>
      <c r="O296" t="str">
        <v/>
      </c>
      <c r="P296" t="str">
        <v/>
      </c>
      <c r="Q296" t="str">
        <v/>
      </c>
      <c r="R296" t="str">
        <v/>
      </c>
    </row>
    <row r="297">
      <c r="A297" t="str">
        <v/>
      </c>
      <c r="B297" t="str">
        <v/>
      </c>
      <c r="C297" t="str">
        <v/>
      </c>
      <c r="D297" t="str">
        <v/>
      </c>
      <c r="E297" t="str">
        <v/>
      </c>
      <c r="F297" t="str">
        <v/>
      </c>
      <c r="G297" t="str">
        <v/>
      </c>
      <c r="H297" t="str">
        <v/>
      </c>
      <c r="I297" t="str">
        <v/>
      </c>
      <c r="J297" t="str">
        <v/>
      </c>
      <c r="K297" t="str">
        <v/>
      </c>
      <c r="L297" t="str">
        <v/>
      </c>
      <c r="M297" t="str">
        <v/>
      </c>
      <c r="N297" t="str">
        <v/>
      </c>
      <c r="O297" t="str">
        <v/>
      </c>
      <c r="P297" t="str">
        <v/>
      </c>
      <c r="Q297" t="str">
        <v/>
      </c>
      <c r="R297" t="str">
        <v/>
      </c>
    </row>
    <row r="298">
      <c r="A298" t="str">
        <v/>
      </c>
      <c r="B298" t="str">
        <v/>
      </c>
      <c r="C298" t="str">
        <v/>
      </c>
      <c r="D298" t="str">
        <v/>
      </c>
      <c r="E298" t="str">
        <v/>
      </c>
      <c r="F298" t="str">
        <v/>
      </c>
      <c r="G298" t="str">
        <v/>
      </c>
      <c r="H298" t="str">
        <v/>
      </c>
      <c r="I298" t="str">
        <v/>
      </c>
      <c r="J298" t="str">
        <v/>
      </c>
      <c r="K298" t="str">
        <v/>
      </c>
      <c r="L298" t="str">
        <v/>
      </c>
      <c r="M298" t="str">
        <v/>
      </c>
      <c r="N298" t="str">
        <v/>
      </c>
      <c r="O298" t="str">
        <v/>
      </c>
      <c r="P298" t="str">
        <v/>
      </c>
      <c r="Q298" t="str">
        <v/>
      </c>
      <c r="R298" t="str">
        <v/>
      </c>
    </row>
    <row r="299">
      <c r="A299" t="str">
        <v/>
      </c>
      <c r="B299" t="str">
        <v/>
      </c>
      <c r="C299" t="str">
        <v/>
      </c>
      <c r="D299" t="str">
        <v/>
      </c>
      <c r="E299" t="str">
        <v/>
      </c>
      <c r="F299" t="str">
        <v/>
      </c>
      <c r="G299" t="str">
        <v/>
      </c>
      <c r="H299" t="str">
        <v/>
      </c>
      <c r="I299" t="str">
        <v/>
      </c>
      <c r="J299" t="str">
        <v/>
      </c>
      <c r="K299" t="str">
        <v/>
      </c>
      <c r="L299" t="str">
        <v/>
      </c>
      <c r="M299" t="str">
        <v/>
      </c>
      <c r="N299" t="str">
        <v/>
      </c>
      <c r="O299" t="str">
        <v/>
      </c>
      <c r="P299" t="str">
        <v/>
      </c>
      <c r="Q299" t="str">
        <v/>
      </c>
      <c r="R299" t="str">
        <v/>
      </c>
    </row>
    <row r="300">
      <c r="A300" t="str">
        <v/>
      </c>
      <c r="B300" t="str">
        <v/>
      </c>
      <c r="C300" t="str">
        <v/>
      </c>
      <c r="D300" t="str">
        <v/>
      </c>
      <c r="E300" t="str">
        <v/>
      </c>
      <c r="F300" t="str">
        <v/>
      </c>
      <c r="G300" t="str">
        <v/>
      </c>
      <c r="H300" t="str">
        <v/>
      </c>
      <c r="I300" t="str">
        <v/>
      </c>
      <c r="J300" t="str">
        <v/>
      </c>
      <c r="K300" t="str">
        <v/>
      </c>
      <c r="L300" t="str">
        <v/>
      </c>
      <c r="M300" t="str">
        <v/>
      </c>
      <c r="N300" t="str">
        <v/>
      </c>
      <c r="O300" t="str">
        <v/>
      </c>
      <c r="P300" t="str">
        <v/>
      </c>
      <c r="Q300" t="str">
        <v/>
      </c>
      <c r="R300" t="str">
        <v/>
      </c>
    </row>
    <row r="301">
      <c r="A301" t="str">
        <v/>
      </c>
      <c r="B301" t="str">
        <v/>
      </c>
      <c r="C301" t="str">
        <v/>
      </c>
      <c r="D301" t="str">
        <v/>
      </c>
      <c r="E301" t="str">
        <v/>
      </c>
      <c r="F301" t="str">
        <v/>
      </c>
      <c r="G301" t="str">
        <v/>
      </c>
      <c r="H301" t="str">
        <v/>
      </c>
      <c r="I301" t="str">
        <v/>
      </c>
      <c r="J301" t="str">
        <v/>
      </c>
      <c r="K301" t="str">
        <v/>
      </c>
      <c r="L301" t="str">
        <v/>
      </c>
      <c r="M301" t="str">
        <v/>
      </c>
      <c r="N301" t="str">
        <v/>
      </c>
      <c r="O301" t="str">
        <v/>
      </c>
      <c r="P301" t="str">
        <v/>
      </c>
      <c r="Q301" t="str">
        <v/>
      </c>
      <c r="R301" t="str">
        <v/>
      </c>
    </row>
    <row r="302">
      <c r="A302" t="str">
        <v/>
      </c>
      <c r="B302" t="str">
        <v/>
      </c>
      <c r="C302" t="str">
        <v/>
      </c>
      <c r="D302" t="str">
        <v/>
      </c>
      <c r="E302" t="str">
        <v/>
      </c>
      <c r="F302" t="str">
        <v/>
      </c>
      <c r="G302" t="str">
        <v/>
      </c>
      <c r="H302" t="str">
        <v/>
      </c>
      <c r="I302" t="str">
        <v/>
      </c>
      <c r="J302" t="str">
        <v/>
      </c>
      <c r="K302" t="str">
        <v/>
      </c>
      <c r="L302" t="str">
        <v/>
      </c>
      <c r="M302" t="str">
        <v/>
      </c>
      <c r="N302" t="str">
        <v/>
      </c>
      <c r="O302" t="str">
        <v/>
      </c>
      <c r="P302" t="str">
        <v/>
      </c>
      <c r="Q302" t="str">
        <v/>
      </c>
      <c r="R302" t="str">
        <v/>
      </c>
    </row>
    <row r="303">
      <c r="A303" t="str">
        <v/>
      </c>
      <c r="B303" t="str">
        <v/>
      </c>
      <c r="C303" t="str">
        <v/>
      </c>
      <c r="D303" t="str">
        <v/>
      </c>
      <c r="E303" t="str">
        <v/>
      </c>
      <c r="F303" t="str">
        <v/>
      </c>
      <c r="G303" t="str">
        <v/>
      </c>
      <c r="H303" t="str">
        <v/>
      </c>
      <c r="I303" t="str">
        <v/>
      </c>
      <c r="J303" t="str">
        <v/>
      </c>
      <c r="K303" t="str">
        <v/>
      </c>
      <c r="L303" t="str">
        <v/>
      </c>
      <c r="M303" t="str">
        <v/>
      </c>
      <c r="N303" t="str">
        <v/>
      </c>
      <c r="O303" t="str">
        <v/>
      </c>
      <c r="P303" t="str">
        <v/>
      </c>
      <c r="Q303" t="str">
        <v/>
      </c>
      <c r="R303" t="str">
        <v/>
      </c>
    </row>
    <row r="304">
      <c r="A304" t="str">
        <v/>
      </c>
      <c r="B304" t="str">
        <v/>
      </c>
      <c r="C304" t="str">
        <v/>
      </c>
      <c r="D304" t="str">
        <v/>
      </c>
      <c r="E304" t="str">
        <v/>
      </c>
      <c r="F304" t="str">
        <v/>
      </c>
      <c r="G304" t="str">
        <v/>
      </c>
      <c r="H304" t="str">
        <v/>
      </c>
      <c r="I304" t="str">
        <v/>
      </c>
      <c r="J304" t="str">
        <v/>
      </c>
      <c r="K304" t="str">
        <v/>
      </c>
      <c r="L304" t="str">
        <v/>
      </c>
      <c r="M304" t="str">
        <v/>
      </c>
      <c r="N304" t="str">
        <v/>
      </c>
      <c r="O304" t="str">
        <v/>
      </c>
      <c r="P304" t="str">
        <v/>
      </c>
      <c r="Q304" t="str">
        <v/>
      </c>
      <c r="R304" t="str">
        <v/>
      </c>
    </row>
    <row r="305">
      <c r="A305" t="str">
        <v/>
      </c>
      <c r="B305" t="str">
        <v/>
      </c>
      <c r="C305" t="str">
        <v/>
      </c>
      <c r="D305" t="str">
        <v/>
      </c>
      <c r="E305" t="str">
        <v/>
      </c>
      <c r="F305" t="str">
        <v/>
      </c>
      <c r="G305" t="str">
        <v/>
      </c>
      <c r="H305" t="str">
        <v/>
      </c>
      <c r="I305" t="str">
        <v/>
      </c>
      <c r="J305" t="str">
        <v/>
      </c>
      <c r="K305" t="str">
        <v/>
      </c>
      <c r="L305" t="str">
        <v/>
      </c>
      <c r="M305" t="str">
        <v/>
      </c>
      <c r="N305" t="str">
        <v/>
      </c>
      <c r="O305" t="str">
        <v/>
      </c>
      <c r="P305" t="str">
        <v/>
      </c>
      <c r="Q305" t="str">
        <v/>
      </c>
      <c r="R305" t="str">
        <v/>
      </c>
    </row>
    <row r="306">
      <c r="A306" t="str">
        <v/>
      </c>
      <c r="B306" t="str">
        <v/>
      </c>
      <c r="C306" t="str">
        <v/>
      </c>
      <c r="D306" t="str">
        <v/>
      </c>
      <c r="E306" t="str">
        <v/>
      </c>
      <c r="F306" t="str">
        <v/>
      </c>
      <c r="G306" t="str">
        <v/>
      </c>
      <c r="H306" t="str">
        <v/>
      </c>
      <c r="I306" t="str">
        <v/>
      </c>
      <c r="J306" t="str">
        <v/>
      </c>
      <c r="K306" t="str">
        <v/>
      </c>
      <c r="L306" t="str">
        <v/>
      </c>
      <c r="M306" t="str">
        <v/>
      </c>
      <c r="N306" t="str">
        <v/>
      </c>
      <c r="O306" t="str">
        <v/>
      </c>
      <c r="P306" t="str">
        <v/>
      </c>
      <c r="Q306" t="str">
        <v/>
      </c>
      <c r="R306" t="str">
        <v/>
      </c>
    </row>
    <row r="307">
      <c r="A307" t="str">
        <v/>
      </c>
      <c r="B307" t="str">
        <v/>
      </c>
      <c r="C307" t="str">
        <v/>
      </c>
      <c r="D307" t="str">
        <v/>
      </c>
      <c r="E307" t="str">
        <v/>
      </c>
      <c r="F307" t="str">
        <v/>
      </c>
      <c r="G307" t="str">
        <v/>
      </c>
      <c r="H307" t="str">
        <v/>
      </c>
      <c r="I307" t="str">
        <v/>
      </c>
      <c r="J307" t="str">
        <v/>
      </c>
      <c r="K307" t="str">
        <v/>
      </c>
      <c r="L307" t="str">
        <v/>
      </c>
      <c r="M307" t="str">
        <v/>
      </c>
      <c r="N307" t="str">
        <v/>
      </c>
      <c r="O307" t="str">
        <v/>
      </c>
      <c r="P307" t="str">
        <v/>
      </c>
      <c r="Q307" t="str">
        <v/>
      </c>
      <c r="R307" t="str">
        <v/>
      </c>
    </row>
    <row r="308">
      <c r="A308" t="str">
        <v/>
      </c>
      <c r="B308" t="str">
        <v/>
      </c>
      <c r="C308" t="str">
        <v/>
      </c>
      <c r="D308" t="str">
        <v/>
      </c>
      <c r="E308" t="str">
        <v/>
      </c>
      <c r="F308" t="str">
        <v/>
      </c>
      <c r="G308" t="str">
        <v/>
      </c>
      <c r="H308" t="str">
        <v/>
      </c>
      <c r="I308" t="str">
        <v/>
      </c>
      <c r="J308" t="str">
        <v/>
      </c>
      <c r="K308" t="str">
        <v/>
      </c>
      <c r="L308" t="str">
        <v/>
      </c>
      <c r="M308" t="str">
        <v/>
      </c>
      <c r="N308" t="str">
        <v/>
      </c>
      <c r="O308" t="str">
        <v/>
      </c>
      <c r="P308" t="str">
        <v/>
      </c>
      <c r="Q308" t="str">
        <v/>
      </c>
      <c r="R308" t="str">
        <v/>
      </c>
    </row>
    <row r="309">
      <c r="A309" t="str">
        <v/>
      </c>
      <c r="B309" t="str">
        <v/>
      </c>
      <c r="C309" t="str">
        <v/>
      </c>
      <c r="D309" t="str">
        <v/>
      </c>
      <c r="E309" t="str">
        <v/>
      </c>
      <c r="F309" t="str">
        <v/>
      </c>
      <c r="G309" t="str">
        <v/>
      </c>
      <c r="H309" t="str">
        <v/>
      </c>
      <c r="I309" t="str">
        <v/>
      </c>
      <c r="J309" t="str">
        <v/>
      </c>
      <c r="K309" t="str">
        <v/>
      </c>
      <c r="L309" t="str">
        <v/>
      </c>
      <c r="M309" t="str">
        <v/>
      </c>
      <c r="N309" t="str">
        <v/>
      </c>
      <c r="O309" t="str">
        <v/>
      </c>
      <c r="P309" t="str">
        <v/>
      </c>
      <c r="Q309" t="str">
        <v/>
      </c>
      <c r="R309" t="str">
        <v/>
      </c>
    </row>
    <row r="310">
      <c r="A310" t="str">
        <v/>
      </c>
      <c r="B310" t="str">
        <v/>
      </c>
      <c r="C310" t="str">
        <v/>
      </c>
      <c r="D310" t="str">
        <v/>
      </c>
      <c r="E310" t="str">
        <v/>
      </c>
      <c r="F310" t="str">
        <v/>
      </c>
      <c r="G310" t="str">
        <v/>
      </c>
      <c r="H310" t="str">
        <v/>
      </c>
      <c r="I310" t="str">
        <v/>
      </c>
      <c r="J310" t="str">
        <v/>
      </c>
      <c r="K310" t="str">
        <v/>
      </c>
      <c r="L310" t="str">
        <v/>
      </c>
      <c r="M310" t="str">
        <v/>
      </c>
      <c r="N310" t="str">
        <v/>
      </c>
      <c r="O310" t="str">
        <v/>
      </c>
      <c r="P310" t="str">
        <v/>
      </c>
      <c r="Q310" t="str">
        <v/>
      </c>
      <c r="R310" t="str">
        <v/>
      </c>
    </row>
    <row r="311">
      <c r="A311" t="str">
        <v/>
      </c>
      <c r="B311" t="str">
        <v/>
      </c>
      <c r="C311" t="str">
        <v/>
      </c>
      <c r="D311" t="str">
        <v/>
      </c>
      <c r="E311" t="str">
        <v/>
      </c>
      <c r="F311" t="str">
        <v/>
      </c>
      <c r="G311" t="str">
        <v/>
      </c>
      <c r="H311" t="str">
        <v/>
      </c>
      <c r="I311" t="str">
        <v/>
      </c>
      <c r="J311" t="str">
        <v/>
      </c>
      <c r="K311" t="str">
        <v/>
      </c>
      <c r="L311" t="str">
        <v/>
      </c>
      <c r="M311" t="str">
        <v/>
      </c>
      <c r="N311" t="str">
        <v/>
      </c>
      <c r="O311" t="str">
        <v/>
      </c>
      <c r="P311" t="str">
        <v/>
      </c>
      <c r="Q311" t="str">
        <v/>
      </c>
      <c r="R311" t="str">
        <v/>
      </c>
    </row>
    <row r="312">
      <c r="A312" t="str">
        <v/>
      </c>
      <c r="B312" t="str">
        <v/>
      </c>
      <c r="C312" t="str">
        <v/>
      </c>
      <c r="D312" t="str">
        <v/>
      </c>
      <c r="E312" t="str">
        <v/>
      </c>
      <c r="F312" t="str">
        <v/>
      </c>
      <c r="G312" t="str">
        <v/>
      </c>
      <c r="H312" t="str">
        <v/>
      </c>
      <c r="I312" t="str">
        <v/>
      </c>
      <c r="J312" t="str">
        <v/>
      </c>
      <c r="K312" t="str">
        <v/>
      </c>
      <c r="L312" t="str">
        <v/>
      </c>
      <c r="M312" t="str">
        <v/>
      </c>
      <c r="N312" t="str">
        <v/>
      </c>
      <c r="O312" t="str">
        <v/>
      </c>
      <c r="P312" t="str">
        <v/>
      </c>
      <c r="Q312" t="str">
        <v/>
      </c>
      <c r="R312" t="str">
        <v/>
      </c>
    </row>
    <row r="313">
      <c r="A313" t="str">
        <v/>
      </c>
      <c r="B313" t="str">
        <v/>
      </c>
      <c r="C313" t="str">
        <v/>
      </c>
      <c r="D313" t="str">
        <v/>
      </c>
      <c r="E313" t="str">
        <v/>
      </c>
      <c r="F313" t="str">
        <v/>
      </c>
      <c r="G313" t="str">
        <v/>
      </c>
      <c r="H313" t="str">
        <v/>
      </c>
      <c r="I313" t="str">
        <v/>
      </c>
      <c r="J313" t="str">
        <v/>
      </c>
      <c r="K313" t="str">
        <v/>
      </c>
      <c r="L313" t="str">
        <v/>
      </c>
      <c r="M313" t="str">
        <v/>
      </c>
      <c r="N313" t="str">
        <v/>
      </c>
      <c r="O313" t="str">
        <v/>
      </c>
      <c r="P313" t="str">
        <v/>
      </c>
      <c r="Q313" t="str">
        <v/>
      </c>
      <c r="R313" t="str">
        <v/>
      </c>
    </row>
    <row r="314">
      <c r="A314" t="str">
        <v/>
      </c>
      <c r="B314" t="str">
        <v/>
      </c>
      <c r="C314" t="str">
        <v/>
      </c>
      <c r="D314" t="str">
        <v/>
      </c>
      <c r="E314" t="str">
        <v/>
      </c>
      <c r="F314" t="str">
        <v/>
      </c>
      <c r="G314" t="str">
        <v/>
      </c>
      <c r="H314" t="str">
        <v/>
      </c>
      <c r="I314" t="str">
        <v/>
      </c>
      <c r="J314" t="str">
        <v/>
      </c>
      <c r="K314" t="str">
        <v/>
      </c>
      <c r="L314" t="str">
        <v/>
      </c>
      <c r="M314" t="str">
        <v/>
      </c>
      <c r="N314" t="str">
        <v/>
      </c>
      <c r="O314" t="str">
        <v/>
      </c>
      <c r="P314" t="str">
        <v/>
      </c>
      <c r="Q314" t="str">
        <v/>
      </c>
      <c r="R314" t="str">
        <v/>
      </c>
    </row>
    <row r="315">
      <c r="A315" t="str">
        <v/>
      </c>
      <c r="B315" t="str">
        <v/>
      </c>
      <c r="C315" t="str">
        <v/>
      </c>
      <c r="D315" t="str">
        <v/>
      </c>
      <c r="E315" t="str">
        <v/>
      </c>
      <c r="F315" t="str">
        <v/>
      </c>
      <c r="G315" t="str">
        <v/>
      </c>
      <c r="H315" t="str">
        <v/>
      </c>
      <c r="I315" t="str">
        <v/>
      </c>
      <c r="J315" t="str">
        <v/>
      </c>
      <c r="K315" t="str">
        <v/>
      </c>
      <c r="L315" t="str">
        <v/>
      </c>
      <c r="M315" t="str">
        <v/>
      </c>
      <c r="N315" t="str">
        <v/>
      </c>
      <c r="O315" t="str">
        <v/>
      </c>
      <c r="P315" t="str">
        <v/>
      </c>
      <c r="Q315" t="str">
        <v/>
      </c>
      <c r="R315" t="str">
        <v/>
      </c>
    </row>
    <row r="316">
      <c r="A316" t="str">
        <v/>
      </c>
      <c r="B316" t="str">
        <v/>
      </c>
      <c r="C316" t="str">
        <v/>
      </c>
      <c r="D316" t="str">
        <v/>
      </c>
      <c r="E316" t="str">
        <v/>
      </c>
      <c r="F316" t="str">
        <v/>
      </c>
      <c r="G316" t="str">
        <v/>
      </c>
      <c r="H316" t="str">
        <v/>
      </c>
      <c r="I316" t="str">
        <v/>
      </c>
      <c r="J316" t="str">
        <v/>
      </c>
      <c r="K316" t="str">
        <v/>
      </c>
      <c r="L316" t="str">
        <v/>
      </c>
      <c r="M316" t="str">
        <v/>
      </c>
      <c r="N316" t="str">
        <v/>
      </c>
      <c r="O316" t="str">
        <v/>
      </c>
      <c r="P316" t="str">
        <v/>
      </c>
      <c r="Q316" t="str">
        <v/>
      </c>
      <c r="R316" t="str">
        <v/>
      </c>
    </row>
    <row r="317">
      <c r="A317" t="str">
        <v/>
      </c>
      <c r="B317" t="str">
        <v/>
      </c>
      <c r="C317" t="str">
        <v/>
      </c>
      <c r="D317" t="str">
        <v/>
      </c>
      <c r="E317" t="str">
        <v/>
      </c>
      <c r="F317" t="str">
        <v/>
      </c>
      <c r="G317" t="str">
        <v/>
      </c>
      <c r="H317" t="str">
        <v/>
      </c>
      <c r="I317" t="str">
        <v/>
      </c>
      <c r="J317" t="str">
        <v/>
      </c>
      <c r="K317" t="str">
        <v/>
      </c>
      <c r="L317" t="str">
        <v/>
      </c>
      <c r="M317" t="str">
        <v/>
      </c>
      <c r="N317" t="str">
        <v/>
      </c>
      <c r="O317" t="str">
        <v/>
      </c>
      <c r="P317" t="str">
        <v/>
      </c>
      <c r="Q317" t="str">
        <v/>
      </c>
      <c r="R317" t="str">
        <v/>
      </c>
    </row>
    <row r="318">
      <c r="A318" t="str">
        <v/>
      </c>
      <c r="B318" t="str">
        <v/>
      </c>
      <c r="C318" t="str">
        <v/>
      </c>
      <c r="D318" t="str">
        <v/>
      </c>
      <c r="E318" t="str">
        <v/>
      </c>
      <c r="F318" t="str">
        <v/>
      </c>
      <c r="G318" t="str">
        <v/>
      </c>
      <c r="H318" t="str">
        <v/>
      </c>
      <c r="I318" t="str">
        <v/>
      </c>
      <c r="J318" t="str">
        <v/>
      </c>
      <c r="K318" t="str">
        <v/>
      </c>
      <c r="L318" t="str">
        <v/>
      </c>
      <c r="M318" t="str">
        <v/>
      </c>
      <c r="N318" t="str">
        <v/>
      </c>
      <c r="O318" t="str">
        <v/>
      </c>
      <c r="P318" t="str">
        <v/>
      </c>
      <c r="Q318" t="str">
        <v/>
      </c>
      <c r="R318" t="str">
        <v/>
      </c>
    </row>
    <row r="319">
      <c r="A319" t="str">
        <v/>
      </c>
      <c r="B319" t="str">
        <v/>
      </c>
      <c r="C319" t="str">
        <v/>
      </c>
      <c r="D319" t="str">
        <v/>
      </c>
      <c r="E319" t="str">
        <v/>
      </c>
      <c r="F319" t="str">
        <v/>
      </c>
      <c r="G319" t="str">
        <v/>
      </c>
      <c r="H319" t="str">
        <v/>
      </c>
      <c r="I319" t="str">
        <v/>
      </c>
      <c r="J319" t="str">
        <v/>
      </c>
      <c r="K319" t="str">
        <v/>
      </c>
      <c r="L319" t="str">
        <v/>
      </c>
      <c r="M319" t="str">
        <v/>
      </c>
      <c r="N319" t="str">
        <v/>
      </c>
      <c r="O319" t="str">
        <v/>
      </c>
      <c r="P319" t="str">
        <v/>
      </c>
      <c r="Q319" t="str">
        <v/>
      </c>
      <c r="R319" t="str">
        <v/>
      </c>
    </row>
    <row r="320">
      <c r="A320" t="str">
        <v/>
      </c>
      <c r="B320" t="str">
        <v/>
      </c>
      <c r="C320" t="str">
        <v/>
      </c>
      <c r="D320" t="str">
        <v/>
      </c>
      <c r="E320" t="str">
        <v/>
      </c>
      <c r="F320" t="str">
        <v/>
      </c>
      <c r="G320" t="str">
        <v/>
      </c>
      <c r="H320" t="str">
        <v/>
      </c>
      <c r="I320" t="str">
        <v/>
      </c>
      <c r="J320" t="str">
        <v/>
      </c>
      <c r="K320" t="str">
        <v/>
      </c>
      <c r="L320" t="str">
        <v/>
      </c>
      <c r="M320" t="str">
        <v/>
      </c>
      <c r="N320" t="str">
        <v/>
      </c>
      <c r="O320" t="str">
        <v/>
      </c>
      <c r="P320" t="str">
        <v/>
      </c>
      <c r="Q320" t="str">
        <v/>
      </c>
      <c r="R320" t="str">
        <v/>
      </c>
    </row>
    <row r="321">
      <c r="A321" t="str">
        <v/>
      </c>
      <c r="B321" t="str">
        <v/>
      </c>
      <c r="C321" t="str">
        <v/>
      </c>
      <c r="D321" t="str">
        <v/>
      </c>
      <c r="E321" t="str">
        <v/>
      </c>
      <c r="F321" t="str">
        <v/>
      </c>
      <c r="G321" t="str">
        <v/>
      </c>
      <c r="H321" t="str">
        <v/>
      </c>
      <c r="I321" t="str">
        <v/>
      </c>
      <c r="J321" t="str">
        <v/>
      </c>
      <c r="K321" t="str">
        <v/>
      </c>
      <c r="L321" t="str">
        <v/>
      </c>
      <c r="M321" t="str">
        <v/>
      </c>
      <c r="N321" t="str">
        <v/>
      </c>
      <c r="O321" t="str">
        <v/>
      </c>
      <c r="P321" t="str">
        <v/>
      </c>
      <c r="Q321" t="str">
        <v/>
      </c>
      <c r="R321" t="str">
        <v/>
      </c>
    </row>
    <row r="322">
      <c r="A322" t="str">
        <v/>
      </c>
      <c r="B322" t="str">
        <v/>
      </c>
      <c r="C322" t="str">
        <v/>
      </c>
      <c r="D322" t="str">
        <v/>
      </c>
      <c r="E322" t="str">
        <v/>
      </c>
      <c r="F322" t="str">
        <v/>
      </c>
      <c r="G322" t="str">
        <v/>
      </c>
      <c r="H322" t="str">
        <v/>
      </c>
      <c r="I322" t="str">
        <v/>
      </c>
      <c r="J322" t="str">
        <v/>
      </c>
      <c r="K322" t="str">
        <v/>
      </c>
      <c r="L322" t="str">
        <v/>
      </c>
      <c r="M322" t="str">
        <v/>
      </c>
      <c r="N322" t="str">
        <v/>
      </c>
      <c r="O322" t="str">
        <v/>
      </c>
      <c r="P322" t="str">
        <v/>
      </c>
      <c r="Q322" t="str">
        <v/>
      </c>
      <c r="R322" t="str">
        <v/>
      </c>
    </row>
    <row r="323">
      <c r="A323" t="str">
        <v/>
      </c>
      <c r="B323" t="str">
        <v/>
      </c>
      <c r="C323" t="str">
        <v/>
      </c>
      <c r="D323" t="str">
        <v/>
      </c>
      <c r="E323" t="str">
        <v/>
      </c>
      <c r="F323" t="str">
        <v/>
      </c>
      <c r="G323" t="str">
        <v/>
      </c>
      <c r="H323" t="str">
        <v/>
      </c>
      <c r="I323" t="str">
        <v/>
      </c>
      <c r="J323" t="str">
        <v/>
      </c>
      <c r="K323" t="str">
        <v/>
      </c>
      <c r="L323" t="str">
        <v/>
      </c>
      <c r="M323" t="str">
        <v/>
      </c>
      <c r="N323" t="str">
        <v/>
      </c>
      <c r="O323" t="str">
        <v/>
      </c>
      <c r="P323" t="str">
        <v/>
      </c>
      <c r="Q323" t="str">
        <v/>
      </c>
      <c r="R323" t="str">
        <v/>
      </c>
    </row>
    <row r="324">
      <c r="A324" t="str">
        <v/>
      </c>
      <c r="B324" t="str">
        <v/>
      </c>
      <c r="C324" t="str">
        <v/>
      </c>
      <c r="D324" t="str">
        <v/>
      </c>
      <c r="E324" t="str">
        <v/>
      </c>
      <c r="F324" t="str">
        <v/>
      </c>
      <c r="G324" t="str">
        <v/>
      </c>
      <c r="H324" t="str">
        <v/>
      </c>
      <c r="I324" t="str">
        <v/>
      </c>
      <c r="J324" t="str">
        <v/>
      </c>
      <c r="K324" t="str">
        <v/>
      </c>
      <c r="L324" t="str">
        <v/>
      </c>
      <c r="M324" t="str">
        <v/>
      </c>
      <c r="N324" t="str">
        <v/>
      </c>
      <c r="O324" t="str">
        <v/>
      </c>
      <c r="P324" t="str">
        <v/>
      </c>
      <c r="Q324" t="str">
        <v/>
      </c>
      <c r="R324" t="str">
        <v/>
      </c>
    </row>
    <row r="325">
      <c r="A325" t="str">
        <v/>
      </c>
      <c r="B325" t="str">
        <v/>
      </c>
      <c r="C325" t="str">
        <v/>
      </c>
      <c r="D325" t="str">
        <v/>
      </c>
      <c r="E325" t="str">
        <v/>
      </c>
      <c r="F325" t="str">
        <v/>
      </c>
      <c r="G325" t="str">
        <v/>
      </c>
      <c r="H325" t="str">
        <v/>
      </c>
      <c r="I325" t="str">
        <v/>
      </c>
      <c r="J325" t="str">
        <v/>
      </c>
      <c r="K325" t="str">
        <v/>
      </c>
      <c r="L325" t="str">
        <v/>
      </c>
      <c r="M325" t="str">
        <v/>
      </c>
      <c r="N325" t="str">
        <v/>
      </c>
      <c r="O325" t="str">
        <v/>
      </c>
      <c r="P325" t="str">
        <v/>
      </c>
      <c r="Q325" t="str">
        <v/>
      </c>
      <c r="R325" t="str">
        <v/>
      </c>
    </row>
    <row r="326">
      <c r="A326" t="str">
        <v/>
      </c>
      <c r="B326" t="str">
        <v/>
      </c>
      <c r="C326" t="str">
        <v/>
      </c>
      <c r="D326" t="str">
        <v/>
      </c>
      <c r="E326" t="str">
        <v/>
      </c>
      <c r="F326" t="str">
        <v/>
      </c>
      <c r="G326" t="str">
        <v/>
      </c>
      <c r="H326" t="str">
        <v/>
      </c>
      <c r="I326" t="str">
        <v/>
      </c>
      <c r="J326" t="str">
        <v/>
      </c>
      <c r="K326" t="str">
        <v/>
      </c>
      <c r="L326" t="str">
        <v/>
      </c>
      <c r="M326" t="str">
        <v/>
      </c>
      <c r="N326" t="str">
        <v/>
      </c>
      <c r="O326" t="str">
        <v/>
      </c>
      <c r="P326" t="str">
        <v/>
      </c>
      <c r="Q326" t="str">
        <v/>
      </c>
      <c r="R326" t="str">
        <v/>
      </c>
    </row>
    <row r="327">
      <c r="A327" t="str">
        <v/>
      </c>
      <c r="B327" t="str">
        <v/>
      </c>
      <c r="C327" t="str">
        <v/>
      </c>
      <c r="D327" t="str">
        <v/>
      </c>
      <c r="E327" t="str">
        <v/>
      </c>
      <c r="F327" t="str">
        <v/>
      </c>
      <c r="G327" t="str">
        <v/>
      </c>
      <c r="H327" t="str">
        <v/>
      </c>
      <c r="I327" t="str">
        <v/>
      </c>
      <c r="J327" t="str">
        <v/>
      </c>
      <c r="K327" t="str">
        <v/>
      </c>
      <c r="L327" t="str">
        <v/>
      </c>
      <c r="M327" t="str">
        <v/>
      </c>
      <c r="N327" t="str">
        <v/>
      </c>
      <c r="O327" t="str">
        <v/>
      </c>
      <c r="P327" t="str">
        <v/>
      </c>
      <c r="Q327" t="str">
        <v/>
      </c>
      <c r="R327" t="str">
        <v/>
      </c>
    </row>
    <row r="328">
      <c r="A328" t="str">
        <v/>
      </c>
      <c r="B328" t="str">
        <v/>
      </c>
      <c r="C328" t="str">
        <v/>
      </c>
      <c r="D328" t="str">
        <v/>
      </c>
      <c r="E328" t="str">
        <v/>
      </c>
      <c r="F328" t="str">
        <v/>
      </c>
      <c r="G328" t="str">
        <v/>
      </c>
      <c r="H328" t="str">
        <v/>
      </c>
      <c r="I328" t="str">
        <v/>
      </c>
      <c r="J328" t="str">
        <v/>
      </c>
      <c r="K328" t="str">
        <v/>
      </c>
      <c r="L328" t="str">
        <v/>
      </c>
      <c r="M328" t="str">
        <v/>
      </c>
      <c r="N328" t="str">
        <v/>
      </c>
      <c r="O328" t="str">
        <v/>
      </c>
      <c r="P328" t="str">
        <v/>
      </c>
      <c r="Q328" t="str">
        <v/>
      </c>
      <c r="R328" t="str">
        <v/>
      </c>
    </row>
    <row r="329">
      <c r="A329" t="str">
        <v/>
      </c>
      <c r="B329" t="str">
        <v/>
      </c>
      <c r="C329" t="str">
        <v/>
      </c>
      <c r="D329" t="str">
        <v/>
      </c>
      <c r="E329" t="str">
        <v/>
      </c>
      <c r="F329" t="str">
        <v/>
      </c>
      <c r="G329" t="str">
        <v/>
      </c>
      <c r="H329" t="str">
        <v/>
      </c>
      <c r="I329" t="str">
        <v/>
      </c>
      <c r="J329" t="str">
        <v/>
      </c>
      <c r="K329" t="str">
        <v/>
      </c>
      <c r="L329" t="str">
        <v/>
      </c>
      <c r="M329" t="str">
        <v/>
      </c>
      <c r="N329" t="str">
        <v/>
      </c>
      <c r="O329" t="str">
        <v/>
      </c>
      <c r="P329" t="str">
        <v/>
      </c>
      <c r="Q329" t="str">
        <v/>
      </c>
      <c r="R329" t="str">
        <v/>
      </c>
    </row>
    <row r="330">
      <c r="A330" t="str">
        <v/>
      </c>
      <c r="B330" t="str">
        <v/>
      </c>
      <c r="C330" t="str">
        <v/>
      </c>
      <c r="D330" t="str">
        <v/>
      </c>
      <c r="E330" t="str">
        <v/>
      </c>
      <c r="F330" t="str">
        <v/>
      </c>
      <c r="G330" t="str">
        <v/>
      </c>
      <c r="H330" t="str">
        <v/>
      </c>
      <c r="I330" t="str">
        <v/>
      </c>
      <c r="J330" t="str">
        <v/>
      </c>
      <c r="K330" t="str">
        <v/>
      </c>
      <c r="L330" t="str">
        <v/>
      </c>
      <c r="M330" t="str">
        <v/>
      </c>
      <c r="N330" t="str">
        <v/>
      </c>
      <c r="O330" t="str">
        <v/>
      </c>
      <c r="P330" t="str">
        <v/>
      </c>
      <c r="Q330" t="str">
        <v/>
      </c>
      <c r="R330" t="str">
        <v/>
      </c>
    </row>
    <row r="331">
      <c r="A331" t="str">
        <v/>
      </c>
      <c r="B331" t="str">
        <v/>
      </c>
      <c r="C331" t="str">
        <v/>
      </c>
      <c r="D331" t="str">
        <v/>
      </c>
      <c r="E331" t="str">
        <v/>
      </c>
      <c r="F331" t="str">
        <v/>
      </c>
      <c r="G331" t="str">
        <v/>
      </c>
      <c r="H331" t="str">
        <v/>
      </c>
      <c r="I331" t="str">
        <v/>
      </c>
      <c r="J331" t="str">
        <v/>
      </c>
      <c r="K331" t="str">
        <v/>
      </c>
      <c r="L331" t="str">
        <v/>
      </c>
      <c r="M331" t="str">
        <v/>
      </c>
      <c r="N331" t="str">
        <v/>
      </c>
      <c r="O331" t="str">
        <v/>
      </c>
      <c r="P331" t="str">
        <v/>
      </c>
      <c r="Q331" t="str">
        <v/>
      </c>
      <c r="R331" t="str">
        <v/>
      </c>
    </row>
    <row r="332">
      <c r="A332" t="str">
        <v/>
      </c>
      <c r="B332" t="str">
        <v/>
      </c>
      <c r="C332" t="str">
        <v/>
      </c>
      <c r="D332" t="str">
        <v/>
      </c>
      <c r="E332" t="str">
        <v/>
      </c>
      <c r="F332" t="str">
        <v/>
      </c>
      <c r="G332" t="str">
        <v/>
      </c>
      <c r="H332" t="str">
        <v/>
      </c>
      <c r="I332" t="str">
        <v/>
      </c>
      <c r="J332" t="str">
        <v/>
      </c>
      <c r="K332" t="str">
        <v/>
      </c>
      <c r="L332" t="str">
        <v/>
      </c>
      <c r="M332" t="str">
        <v/>
      </c>
      <c r="N332" t="str">
        <v/>
      </c>
      <c r="O332" t="str">
        <v/>
      </c>
      <c r="P332" t="str">
        <v/>
      </c>
      <c r="Q332" t="str">
        <v/>
      </c>
      <c r="R332" t="str">
        <v/>
      </c>
    </row>
    <row r="333">
      <c r="A333" t="str">
        <v/>
      </c>
      <c r="B333" t="str">
        <v/>
      </c>
      <c r="C333" t="str">
        <v/>
      </c>
      <c r="D333" t="str">
        <v/>
      </c>
      <c r="E333" t="str">
        <v/>
      </c>
      <c r="F333" t="str">
        <v/>
      </c>
      <c r="G333" t="str">
        <v/>
      </c>
      <c r="H333" t="str">
        <v/>
      </c>
      <c r="I333" t="str">
        <v/>
      </c>
      <c r="J333" t="str">
        <v/>
      </c>
      <c r="K333" t="str">
        <v/>
      </c>
      <c r="L333" t="str">
        <v/>
      </c>
      <c r="M333" t="str">
        <v/>
      </c>
      <c r="N333" t="str">
        <v/>
      </c>
      <c r="O333" t="str">
        <v/>
      </c>
      <c r="P333" t="str">
        <v/>
      </c>
      <c r="Q333" t="str">
        <v/>
      </c>
      <c r="R333" t="str">
        <v/>
      </c>
    </row>
    <row r="334">
      <c r="A334" t="str">
        <v/>
      </c>
      <c r="B334" t="str">
        <v/>
      </c>
      <c r="C334" t="str">
        <v/>
      </c>
      <c r="D334" t="str">
        <v/>
      </c>
      <c r="E334" t="str">
        <v/>
      </c>
      <c r="F334" t="str">
        <v/>
      </c>
      <c r="G334" t="str">
        <v/>
      </c>
      <c r="H334" t="str">
        <v/>
      </c>
      <c r="I334" t="str">
        <v/>
      </c>
      <c r="J334" t="str">
        <v/>
      </c>
      <c r="K334" t="str">
        <v/>
      </c>
      <c r="L334" t="str">
        <v/>
      </c>
      <c r="M334" t="str">
        <v/>
      </c>
      <c r="N334" t="str">
        <v/>
      </c>
      <c r="O334" t="str">
        <v/>
      </c>
      <c r="P334" t="str">
        <v/>
      </c>
      <c r="Q334" t="str">
        <v/>
      </c>
      <c r="R334" t="str">
        <v/>
      </c>
    </row>
    <row r="335">
      <c r="A335" t="str">
        <v/>
      </c>
      <c r="B335" t="str">
        <v/>
      </c>
      <c r="C335" t="str">
        <v/>
      </c>
      <c r="D335" t="str">
        <v/>
      </c>
      <c r="E335" t="str">
        <v/>
      </c>
      <c r="F335" t="str">
        <v/>
      </c>
      <c r="G335" t="str">
        <v/>
      </c>
      <c r="H335" t="str">
        <v/>
      </c>
      <c r="I335" t="str">
        <v/>
      </c>
      <c r="J335" t="str">
        <v/>
      </c>
      <c r="K335" t="str">
        <v/>
      </c>
      <c r="L335" t="str">
        <v/>
      </c>
      <c r="M335" t="str">
        <v/>
      </c>
      <c r="N335" t="str">
        <v/>
      </c>
      <c r="O335" t="str">
        <v/>
      </c>
      <c r="P335" t="str">
        <v/>
      </c>
      <c r="Q335" t="str">
        <v/>
      </c>
      <c r="R335" t="str">
        <v/>
      </c>
    </row>
    <row r="336">
      <c r="A336" t="str">
        <v/>
      </c>
      <c r="B336" t="str">
        <v/>
      </c>
      <c r="C336" t="str">
        <v/>
      </c>
      <c r="D336" t="str">
        <v/>
      </c>
      <c r="E336" t="str">
        <v/>
      </c>
      <c r="F336" t="str">
        <v/>
      </c>
      <c r="G336" t="str">
        <v/>
      </c>
      <c r="H336" t="str">
        <v/>
      </c>
      <c r="I336" t="str">
        <v/>
      </c>
      <c r="J336" t="str">
        <v/>
      </c>
      <c r="K336" t="str">
        <v/>
      </c>
      <c r="L336" t="str">
        <v/>
      </c>
      <c r="M336" t="str">
        <v/>
      </c>
      <c r="N336" t="str">
        <v/>
      </c>
      <c r="O336" t="str">
        <v/>
      </c>
      <c r="P336" t="str">
        <v/>
      </c>
      <c r="Q336" t="str">
        <v/>
      </c>
      <c r="R336" t="str">
        <v/>
      </c>
    </row>
    <row r="337">
      <c r="A337" t="str">
        <v/>
      </c>
      <c r="B337" t="str">
        <v/>
      </c>
      <c r="C337" t="str">
        <v/>
      </c>
      <c r="D337" t="str">
        <v/>
      </c>
      <c r="E337" t="str">
        <v/>
      </c>
      <c r="F337" t="str">
        <v/>
      </c>
      <c r="G337" t="str">
        <v/>
      </c>
      <c r="H337" t="str">
        <v/>
      </c>
      <c r="I337" t="str">
        <v/>
      </c>
      <c r="J337" t="str">
        <v/>
      </c>
      <c r="K337" t="str">
        <v/>
      </c>
      <c r="L337" t="str">
        <v/>
      </c>
      <c r="M337" t="str">
        <v/>
      </c>
      <c r="N337" t="str">
        <v/>
      </c>
      <c r="O337" t="str">
        <v/>
      </c>
      <c r="P337" t="str">
        <v/>
      </c>
      <c r="Q337" t="str">
        <v/>
      </c>
      <c r="R337" t="str">
        <v/>
      </c>
    </row>
    <row r="338">
      <c r="A338" t="str">
        <v/>
      </c>
      <c r="B338" t="str">
        <v/>
      </c>
      <c r="C338" t="str">
        <v/>
      </c>
      <c r="D338" t="str">
        <v/>
      </c>
      <c r="E338" t="str">
        <v/>
      </c>
      <c r="F338" t="str">
        <v/>
      </c>
      <c r="G338" t="str">
        <v/>
      </c>
      <c r="H338" t="str">
        <v/>
      </c>
      <c r="I338" t="str">
        <v/>
      </c>
      <c r="J338" t="str">
        <v/>
      </c>
      <c r="K338" t="str">
        <v/>
      </c>
      <c r="L338" t="str">
        <v/>
      </c>
      <c r="M338" t="str">
        <v/>
      </c>
      <c r="N338" t="str">
        <v/>
      </c>
      <c r="O338" t="str">
        <v/>
      </c>
      <c r="P338" t="str">
        <v/>
      </c>
      <c r="Q338" t="str">
        <v/>
      </c>
      <c r="R338" t="str">
        <v/>
      </c>
    </row>
    <row r="339">
      <c r="A339" t="str">
        <v/>
      </c>
      <c r="B339" t="str">
        <v/>
      </c>
      <c r="C339" t="str">
        <v/>
      </c>
      <c r="D339" t="str">
        <v/>
      </c>
      <c r="E339" t="str">
        <v/>
      </c>
      <c r="F339" t="str">
        <v/>
      </c>
      <c r="G339" t="str">
        <v/>
      </c>
      <c r="H339" t="str">
        <v/>
      </c>
      <c r="I339" t="str">
        <v/>
      </c>
      <c r="J339" t="str">
        <v/>
      </c>
      <c r="K339" t="str">
        <v/>
      </c>
      <c r="L339" t="str">
        <v/>
      </c>
      <c r="M339" t="str">
        <v/>
      </c>
      <c r="N339" t="str">
        <v/>
      </c>
      <c r="O339" t="str">
        <v/>
      </c>
      <c r="P339" t="str">
        <v/>
      </c>
      <c r="Q339" t="str">
        <v/>
      </c>
      <c r="R339" t="str">
        <v/>
      </c>
    </row>
    <row r="340">
      <c r="A340" t="str">
        <v/>
      </c>
      <c r="B340" t="str">
        <v/>
      </c>
      <c r="C340" t="str">
        <v/>
      </c>
      <c r="D340" t="str">
        <v/>
      </c>
      <c r="E340" t="str">
        <v/>
      </c>
      <c r="F340" t="str">
        <v/>
      </c>
      <c r="G340" t="str">
        <v/>
      </c>
      <c r="H340" t="str">
        <v/>
      </c>
      <c r="I340" t="str">
        <v/>
      </c>
      <c r="J340" t="str">
        <v/>
      </c>
      <c r="K340" t="str">
        <v/>
      </c>
      <c r="L340" t="str">
        <v/>
      </c>
      <c r="M340" t="str">
        <v/>
      </c>
      <c r="N340" t="str">
        <v/>
      </c>
      <c r="O340" t="str">
        <v/>
      </c>
      <c r="P340" t="str">
        <v/>
      </c>
      <c r="Q340" t="str">
        <v/>
      </c>
      <c r="R340" t="str">
        <v/>
      </c>
    </row>
    <row r="341">
      <c r="A341" t="str">
        <v/>
      </c>
      <c r="B341" t="str">
        <v/>
      </c>
      <c r="C341" t="str">
        <v/>
      </c>
      <c r="D341" t="str">
        <v/>
      </c>
      <c r="E341" t="str">
        <v/>
      </c>
      <c r="F341" t="str">
        <v/>
      </c>
      <c r="G341" t="str">
        <v/>
      </c>
      <c r="H341" t="str">
        <v/>
      </c>
      <c r="I341" t="str">
        <v/>
      </c>
      <c r="J341" t="str">
        <v/>
      </c>
      <c r="K341" t="str">
        <v/>
      </c>
      <c r="L341" t="str">
        <v/>
      </c>
      <c r="M341" t="str">
        <v/>
      </c>
      <c r="N341" t="str">
        <v/>
      </c>
      <c r="O341" t="str">
        <v/>
      </c>
      <c r="P341" t="str">
        <v/>
      </c>
      <c r="Q341" t="str">
        <v/>
      </c>
      <c r="R341" t="str">
        <v/>
      </c>
    </row>
    <row r="342">
      <c r="A342" t="str">
        <v/>
      </c>
      <c r="B342" t="str">
        <v/>
      </c>
      <c r="C342" t="str">
        <v/>
      </c>
      <c r="D342" t="str">
        <v/>
      </c>
      <c r="E342" t="str">
        <v/>
      </c>
      <c r="F342" t="str">
        <v/>
      </c>
      <c r="G342" t="str">
        <v/>
      </c>
      <c r="H342" t="str">
        <v/>
      </c>
      <c r="I342" t="str">
        <v/>
      </c>
      <c r="J342" t="str">
        <v/>
      </c>
      <c r="K342" t="str">
        <v/>
      </c>
      <c r="L342" t="str">
        <v/>
      </c>
      <c r="M342" t="str">
        <v/>
      </c>
      <c r="N342" t="str">
        <v/>
      </c>
      <c r="O342" t="str">
        <v/>
      </c>
      <c r="P342" t="str">
        <v/>
      </c>
      <c r="Q342" t="str">
        <v/>
      </c>
      <c r="R342" t="str">
        <v/>
      </c>
    </row>
    <row r="343">
      <c r="A343" t="str">
        <v/>
      </c>
      <c r="B343" t="str">
        <v/>
      </c>
      <c r="C343" t="str">
        <v/>
      </c>
      <c r="D343" t="str">
        <v/>
      </c>
      <c r="E343" t="str">
        <v/>
      </c>
      <c r="F343" t="str">
        <v/>
      </c>
      <c r="G343" t="str">
        <v/>
      </c>
      <c r="H343" t="str">
        <v/>
      </c>
      <c r="I343" t="str">
        <v/>
      </c>
      <c r="J343" t="str">
        <v/>
      </c>
      <c r="K343" t="str">
        <v/>
      </c>
      <c r="L343" t="str">
        <v/>
      </c>
      <c r="M343" t="str">
        <v/>
      </c>
      <c r="N343" t="str">
        <v/>
      </c>
      <c r="O343" t="str">
        <v/>
      </c>
      <c r="P343" t="str">
        <v/>
      </c>
      <c r="Q343" t="str">
        <v/>
      </c>
      <c r="R343" t="str">
        <v/>
      </c>
    </row>
    <row r="344">
      <c r="A344" t="str">
        <v/>
      </c>
      <c r="B344" t="str">
        <v/>
      </c>
      <c r="C344" t="str">
        <v/>
      </c>
      <c r="D344" t="str">
        <v/>
      </c>
      <c r="E344" t="str">
        <v/>
      </c>
      <c r="F344" t="str">
        <v/>
      </c>
      <c r="G344" t="str">
        <v/>
      </c>
      <c r="H344" t="str">
        <v/>
      </c>
      <c r="I344" t="str">
        <v/>
      </c>
      <c r="J344" t="str">
        <v/>
      </c>
      <c r="K344" t="str">
        <v/>
      </c>
      <c r="L344" t="str">
        <v/>
      </c>
      <c r="M344" t="str">
        <v/>
      </c>
      <c r="N344" t="str">
        <v/>
      </c>
      <c r="O344" t="str">
        <v/>
      </c>
      <c r="P344" t="str">
        <v/>
      </c>
      <c r="Q344" t="str">
        <v/>
      </c>
      <c r="R344" t="str">
        <v/>
      </c>
    </row>
    <row r="345">
      <c r="A345" t="str">
        <v/>
      </c>
      <c r="B345" t="str">
        <v/>
      </c>
      <c r="C345" t="str">
        <v/>
      </c>
      <c r="D345" t="str">
        <v/>
      </c>
      <c r="E345" t="str">
        <v/>
      </c>
      <c r="F345" t="str">
        <v/>
      </c>
      <c r="G345" t="str">
        <v/>
      </c>
      <c r="H345" t="str">
        <v/>
      </c>
      <c r="I345" t="str">
        <v/>
      </c>
      <c r="J345" t="str">
        <v/>
      </c>
      <c r="K345" t="str">
        <v/>
      </c>
      <c r="L345" t="str">
        <v/>
      </c>
      <c r="M345" t="str">
        <v/>
      </c>
      <c r="N345" t="str">
        <v/>
      </c>
      <c r="O345" t="str">
        <v/>
      </c>
      <c r="P345" t="str">
        <v/>
      </c>
      <c r="Q345" t="str">
        <v/>
      </c>
      <c r="R345" t="str">
        <v/>
      </c>
    </row>
    <row r="346">
      <c r="A346" t="str">
        <v/>
      </c>
      <c r="B346" t="str">
        <v/>
      </c>
      <c r="C346" t="str">
        <v/>
      </c>
      <c r="D346" t="str">
        <v/>
      </c>
      <c r="E346" t="str">
        <v/>
      </c>
      <c r="F346" t="str">
        <v/>
      </c>
      <c r="G346" t="str">
        <v/>
      </c>
      <c r="H346" t="str">
        <v/>
      </c>
      <c r="I346" t="str">
        <v/>
      </c>
      <c r="J346" t="str">
        <v/>
      </c>
      <c r="K346" t="str">
        <v/>
      </c>
      <c r="L346" t="str">
        <v/>
      </c>
      <c r="M346" t="str">
        <v/>
      </c>
      <c r="N346" t="str">
        <v/>
      </c>
      <c r="O346" t="str">
        <v/>
      </c>
      <c r="P346" t="str">
        <v/>
      </c>
      <c r="Q346" t="str">
        <v/>
      </c>
      <c r="R346" t="str">
        <v/>
      </c>
    </row>
    <row r="347">
      <c r="A347" t="str">
        <v/>
      </c>
      <c r="B347" t="str">
        <v/>
      </c>
      <c r="C347" t="str">
        <v/>
      </c>
      <c r="D347" t="str">
        <v/>
      </c>
      <c r="E347" t="str">
        <v/>
      </c>
      <c r="F347" t="str">
        <v/>
      </c>
      <c r="G347" t="str">
        <v/>
      </c>
      <c r="H347" t="str">
        <v/>
      </c>
      <c r="I347" t="str">
        <v/>
      </c>
      <c r="J347" t="str">
        <v/>
      </c>
      <c r="K347" t="str">
        <v/>
      </c>
      <c r="L347" t="str">
        <v/>
      </c>
      <c r="M347" t="str">
        <v/>
      </c>
      <c r="N347" t="str">
        <v/>
      </c>
      <c r="O347" t="str">
        <v/>
      </c>
      <c r="P347" t="str">
        <v/>
      </c>
      <c r="Q347" t="str">
        <v/>
      </c>
      <c r="R347" t="str">
        <v/>
      </c>
    </row>
    <row r="348">
      <c r="A348" t="str">
        <v/>
      </c>
      <c r="B348" t="str">
        <v/>
      </c>
      <c r="C348" t="str">
        <v/>
      </c>
      <c r="D348" t="str">
        <v/>
      </c>
      <c r="E348" t="str">
        <v/>
      </c>
      <c r="F348" t="str">
        <v/>
      </c>
      <c r="G348" t="str">
        <v/>
      </c>
      <c r="H348" t="str">
        <v/>
      </c>
      <c r="I348" t="str">
        <v/>
      </c>
      <c r="J348" t="str">
        <v/>
      </c>
      <c r="K348" t="str">
        <v/>
      </c>
      <c r="L348" t="str">
        <v/>
      </c>
      <c r="M348" t="str">
        <v/>
      </c>
      <c r="N348" t="str">
        <v/>
      </c>
      <c r="O348" t="str">
        <v/>
      </c>
      <c r="P348" t="str">
        <v/>
      </c>
      <c r="Q348" t="str">
        <v/>
      </c>
      <c r="R348" t="str">
        <v/>
      </c>
    </row>
    <row r="349">
      <c r="A349" t="str">
        <v/>
      </c>
      <c r="B349" t="str">
        <v/>
      </c>
      <c r="C349" t="str">
        <v/>
      </c>
      <c r="D349" t="str">
        <v/>
      </c>
      <c r="E349" t="str">
        <v/>
      </c>
      <c r="F349" t="str">
        <v/>
      </c>
      <c r="G349" t="str">
        <v/>
      </c>
      <c r="H349" t="str">
        <v/>
      </c>
      <c r="I349" t="str">
        <v/>
      </c>
      <c r="J349" t="str">
        <v/>
      </c>
      <c r="K349" t="str">
        <v/>
      </c>
      <c r="L349" t="str">
        <v/>
      </c>
      <c r="M349" t="str">
        <v/>
      </c>
      <c r="N349" t="str">
        <v/>
      </c>
      <c r="O349" t="str">
        <v/>
      </c>
      <c r="P349" t="str">
        <v/>
      </c>
      <c r="Q349" t="str">
        <v/>
      </c>
      <c r="R349" t="str">
        <v/>
      </c>
    </row>
    <row r="350">
      <c r="A350" t="str">
        <v/>
      </c>
      <c r="B350" t="str">
        <v/>
      </c>
      <c r="C350" t="str">
        <v/>
      </c>
      <c r="D350" t="str">
        <v/>
      </c>
      <c r="E350" t="str">
        <v/>
      </c>
      <c r="F350" t="str">
        <v/>
      </c>
      <c r="G350" t="str">
        <v/>
      </c>
      <c r="H350" t="str">
        <v/>
      </c>
      <c r="I350" t="str">
        <v/>
      </c>
      <c r="J350" t="str">
        <v/>
      </c>
      <c r="K350" t="str">
        <v/>
      </c>
      <c r="L350" t="str">
        <v/>
      </c>
      <c r="M350" t="str">
        <v/>
      </c>
      <c r="N350" t="str">
        <v/>
      </c>
      <c r="O350" t="str">
        <v/>
      </c>
      <c r="P350" t="str">
        <v/>
      </c>
      <c r="Q350" t="str">
        <v/>
      </c>
      <c r="R350" t="str">
        <v/>
      </c>
    </row>
    <row r="351">
      <c r="A351" t="str">
        <v/>
      </c>
      <c r="B351" t="str">
        <v/>
      </c>
      <c r="C351" t="str">
        <v/>
      </c>
      <c r="D351" t="str">
        <v/>
      </c>
      <c r="E351" t="str">
        <v/>
      </c>
      <c r="F351" t="str">
        <v/>
      </c>
      <c r="G351" t="str">
        <v/>
      </c>
      <c r="H351" t="str">
        <v/>
      </c>
      <c r="I351" t="str">
        <v/>
      </c>
      <c r="J351" t="str">
        <v/>
      </c>
      <c r="K351" t="str">
        <v/>
      </c>
      <c r="L351" t="str">
        <v/>
      </c>
      <c r="M351" t="str">
        <v/>
      </c>
      <c r="N351" t="str">
        <v/>
      </c>
      <c r="O351" t="str">
        <v/>
      </c>
      <c r="P351" t="str">
        <v/>
      </c>
      <c r="Q351" t="str">
        <v/>
      </c>
      <c r="R351" t="str">
        <v/>
      </c>
    </row>
    <row r="352">
      <c r="A352" t="str">
        <v/>
      </c>
      <c r="B352" t="str">
        <v/>
      </c>
      <c r="C352" t="str">
        <v/>
      </c>
      <c r="D352" t="str">
        <v/>
      </c>
      <c r="E352" t="str">
        <v/>
      </c>
      <c r="F352" t="str">
        <v/>
      </c>
      <c r="G352" t="str">
        <v/>
      </c>
      <c r="H352" t="str">
        <v/>
      </c>
      <c r="I352" t="str">
        <v/>
      </c>
      <c r="J352" t="str">
        <v/>
      </c>
      <c r="K352" t="str">
        <v/>
      </c>
      <c r="L352" t="str">
        <v/>
      </c>
      <c r="M352" t="str">
        <v/>
      </c>
      <c r="N352" t="str">
        <v/>
      </c>
      <c r="O352" t="str">
        <v/>
      </c>
      <c r="P352" t="str">
        <v/>
      </c>
      <c r="Q352" t="str">
        <v/>
      </c>
      <c r="R352" t="str">
        <v/>
      </c>
    </row>
    <row r="353">
      <c r="A353" t="str">
        <v/>
      </c>
      <c r="B353" t="str">
        <v/>
      </c>
      <c r="C353" t="str">
        <v/>
      </c>
      <c r="D353" t="str">
        <v/>
      </c>
      <c r="E353" t="str">
        <v/>
      </c>
      <c r="F353" t="str">
        <v/>
      </c>
      <c r="G353" t="str">
        <v/>
      </c>
      <c r="H353" t="str">
        <v/>
      </c>
      <c r="I353" t="str">
        <v/>
      </c>
      <c r="J353" t="str">
        <v/>
      </c>
      <c r="K353" t="str">
        <v/>
      </c>
      <c r="L353" t="str">
        <v/>
      </c>
      <c r="M353" t="str">
        <v/>
      </c>
      <c r="N353" t="str">
        <v/>
      </c>
      <c r="O353" t="str">
        <v/>
      </c>
      <c r="P353" t="str">
        <v/>
      </c>
      <c r="Q353" t="str">
        <v/>
      </c>
      <c r="R353" t="str">
        <v/>
      </c>
    </row>
    <row r="354">
      <c r="A354" t="str">
        <v/>
      </c>
      <c r="B354" t="str">
        <v/>
      </c>
      <c r="C354" t="str">
        <v/>
      </c>
      <c r="D354" t="str">
        <v/>
      </c>
      <c r="E354" t="str">
        <v/>
      </c>
      <c r="F354" t="str">
        <v/>
      </c>
      <c r="G354" t="str">
        <v/>
      </c>
      <c r="H354" t="str">
        <v/>
      </c>
      <c r="I354" t="str">
        <v/>
      </c>
      <c r="J354" t="str">
        <v/>
      </c>
      <c r="K354" t="str">
        <v/>
      </c>
      <c r="L354" t="str">
        <v/>
      </c>
      <c r="M354" t="str">
        <v/>
      </c>
      <c r="N354" t="str">
        <v/>
      </c>
      <c r="O354" t="str">
        <v/>
      </c>
      <c r="P354" t="str">
        <v/>
      </c>
      <c r="Q354" t="str">
        <v/>
      </c>
      <c r="R354" t="str">
        <v/>
      </c>
    </row>
    <row r="355">
      <c r="A355" t="str">
        <v/>
      </c>
      <c r="B355" t="str">
        <v/>
      </c>
      <c r="C355" t="str">
        <v/>
      </c>
      <c r="D355" t="str">
        <v/>
      </c>
      <c r="E355" t="str">
        <v/>
      </c>
      <c r="F355" t="str">
        <v/>
      </c>
      <c r="G355" t="str">
        <v/>
      </c>
      <c r="H355" t="str">
        <v/>
      </c>
      <c r="I355" t="str">
        <v/>
      </c>
      <c r="J355" t="str">
        <v/>
      </c>
      <c r="K355" t="str">
        <v/>
      </c>
      <c r="L355" t="str">
        <v/>
      </c>
      <c r="M355" t="str">
        <v/>
      </c>
      <c r="N355" t="str">
        <v/>
      </c>
      <c r="O355" t="str">
        <v/>
      </c>
      <c r="P355" t="str">
        <v/>
      </c>
      <c r="Q355" t="str">
        <v/>
      </c>
      <c r="R355" t="str">
        <v/>
      </c>
    </row>
    <row r="356">
      <c r="A356" t="str">
        <v/>
      </c>
      <c r="B356" t="str">
        <v/>
      </c>
      <c r="C356" t="str">
        <v/>
      </c>
      <c r="D356" t="str">
        <v/>
      </c>
      <c r="E356" t="str">
        <v/>
      </c>
      <c r="F356" t="str">
        <v/>
      </c>
      <c r="G356" t="str">
        <v/>
      </c>
      <c r="H356" t="str">
        <v/>
      </c>
      <c r="I356" t="str">
        <v/>
      </c>
      <c r="J356" t="str">
        <v/>
      </c>
      <c r="K356" t="str">
        <v/>
      </c>
      <c r="L356" t="str">
        <v/>
      </c>
      <c r="M356" t="str">
        <v/>
      </c>
      <c r="N356" t="str">
        <v/>
      </c>
      <c r="O356" t="str">
        <v/>
      </c>
      <c r="P356" t="str">
        <v/>
      </c>
      <c r="Q356" t="str">
        <v/>
      </c>
      <c r="R356" t="str">
        <v/>
      </c>
    </row>
    <row r="357">
      <c r="A357" t="str">
        <v/>
      </c>
      <c r="B357" t="str">
        <v/>
      </c>
      <c r="C357" t="str">
        <v/>
      </c>
      <c r="D357" t="str">
        <v/>
      </c>
      <c r="E357" t="str">
        <v/>
      </c>
      <c r="F357" t="str">
        <v/>
      </c>
      <c r="G357" t="str">
        <v/>
      </c>
      <c r="H357" t="str">
        <v/>
      </c>
      <c r="I357" t="str">
        <v/>
      </c>
      <c r="J357" t="str">
        <v/>
      </c>
      <c r="K357" t="str">
        <v/>
      </c>
      <c r="L357" t="str">
        <v/>
      </c>
      <c r="M357" t="str">
        <v/>
      </c>
      <c r="N357" t="str">
        <v/>
      </c>
      <c r="O357" t="str">
        <v/>
      </c>
      <c r="P357" t="str">
        <v/>
      </c>
      <c r="Q357" t="str">
        <v/>
      </c>
      <c r="R357" t="str">
        <v/>
      </c>
    </row>
    <row r="358">
      <c r="A358" t="str">
        <v/>
      </c>
      <c r="B358" t="str">
        <v/>
      </c>
      <c r="C358" t="str">
        <v/>
      </c>
      <c r="D358" t="str">
        <v/>
      </c>
      <c r="E358" t="str">
        <v/>
      </c>
      <c r="F358" t="str">
        <v/>
      </c>
      <c r="G358" t="str">
        <v/>
      </c>
      <c r="H358" t="str">
        <v/>
      </c>
      <c r="I358" t="str">
        <v/>
      </c>
      <c r="J358" t="str">
        <v/>
      </c>
      <c r="K358" t="str">
        <v/>
      </c>
      <c r="L358" t="str">
        <v/>
      </c>
      <c r="M358" t="str">
        <v/>
      </c>
      <c r="N358" t="str">
        <v/>
      </c>
      <c r="O358" t="str">
        <v/>
      </c>
      <c r="P358" t="str">
        <v/>
      </c>
      <c r="Q358" t="str">
        <v/>
      </c>
      <c r="R358" t="str">
        <v/>
      </c>
    </row>
    <row r="359">
      <c r="A359" t="str">
        <v/>
      </c>
      <c r="B359" t="str">
        <v/>
      </c>
      <c r="C359" t="str">
        <v/>
      </c>
      <c r="D359" t="str">
        <v/>
      </c>
      <c r="E359" t="str">
        <v/>
      </c>
      <c r="F359" t="str">
        <v/>
      </c>
      <c r="G359" t="str">
        <v/>
      </c>
      <c r="H359" t="str">
        <v/>
      </c>
      <c r="I359" t="str">
        <v/>
      </c>
      <c r="J359" t="str">
        <v/>
      </c>
      <c r="K359" t="str">
        <v/>
      </c>
      <c r="L359" t="str">
        <v/>
      </c>
      <c r="M359" t="str">
        <v/>
      </c>
      <c r="N359" t="str">
        <v/>
      </c>
      <c r="O359" t="str">
        <v/>
      </c>
      <c r="P359" t="str">
        <v/>
      </c>
      <c r="Q359" t="str">
        <v/>
      </c>
      <c r="R359" t="str">
        <v/>
      </c>
    </row>
    <row r="360">
      <c r="A360" t="str">
        <v/>
      </c>
      <c r="B360" t="str">
        <v/>
      </c>
      <c r="C360" t="str">
        <v/>
      </c>
      <c r="D360" t="str">
        <v/>
      </c>
      <c r="E360" t="str">
        <v/>
      </c>
      <c r="F360" t="str">
        <v/>
      </c>
      <c r="G360" t="str">
        <v/>
      </c>
      <c r="H360" t="str">
        <v/>
      </c>
      <c r="I360" t="str">
        <v/>
      </c>
      <c r="J360" t="str">
        <v/>
      </c>
      <c r="K360" t="str">
        <v/>
      </c>
      <c r="L360" t="str">
        <v/>
      </c>
      <c r="M360" t="str">
        <v/>
      </c>
      <c r="N360" t="str">
        <v/>
      </c>
      <c r="O360" t="str">
        <v/>
      </c>
      <c r="P360" t="str">
        <v/>
      </c>
      <c r="Q360" t="str">
        <v/>
      </c>
      <c r="R360" t="str">
        <v/>
      </c>
    </row>
    <row r="361">
      <c r="A361" t="str">
        <v/>
      </c>
      <c r="B361" t="str">
        <v/>
      </c>
      <c r="C361" t="str">
        <v/>
      </c>
      <c r="D361" t="str">
        <v/>
      </c>
      <c r="E361" t="str">
        <v/>
      </c>
      <c r="F361" t="str">
        <v/>
      </c>
      <c r="G361" t="str">
        <v/>
      </c>
      <c r="H361" t="str">
        <v/>
      </c>
      <c r="I361" t="str">
        <v/>
      </c>
      <c r="J361" t="str">
        <v/>
      </c>
      <c r="K361" t="str">
        <v/>
      </c>
      <c r="L361" t="str">
        <v/>
      </c>
      <c r="M361" t="str">
        <v/>
      </c>
      <c r="N361" t="str">
        <v/>
      </c>
      <c r="O361" t="str">
        <v/>
      </c>
      <c r="P361" t="str">
        <v/>
      </c>
      <c r="Q361" t="str">
        <v/>
      </c>
      <c r="R361" t="str">
        <v/>
      </c>
    </row>
    <row r="362">
      <c r="A362" t="str">
        <v/>
      </c>
      <c r="B362" t="str">
        <v/>
      </c>
      <c r="C362" t="str">
        <v/>
      </c>
      <c r="D362" t="str">
        <v/>
      </c>
      <c r="E362" t="str">
        <v/>
      </c>
      <c r="F362" t="str">
        <v/>
      </c>
      <c r="G362" t="str">
        <v/>
      </c>
      <c r="H362" t="str">
        <v/>
      </c>
      <c r="I362" t="str">
        <v/>
      </c>
      <c r="J362" t="str">
        <v/>
      </c>
      <c r="K362" t="str">
        <v/>
      </c>
      <c r="L362" t="str">
        <v/>
      </c>
      <c r="M362" t="str">
        <v/>
      </c>
      <c r="N362" t="str">
        <v/>
      </c>
      <c r="O362" t="str">
        <v/>
      </c>
      <c r="P362" t="str">
        <v/>
      </c>
      <c r="Q362" t="str">
        <v/>
      </c>
      <c r="R362" t="str">
        <v/>
      </c>
    </row>
    <row r="363">
      <c r="A363" t="str">
        <v/>
      </c>
      <c r="B363" t="str">
        <v/>
      </c>
      <c r="C363" t="str">
        <v/>
      </c>
      <c r="D363" t="str">
        <v/>
      </c>
      <c r="E363" t="str">
        <v/>
      </c>
      <c r="F363" t="str">
        <v/>
      </c>
      <c r="G363" t="str">
        <v/>
      </c>
      <c r="H363" t="str">
        <v/>
      </c>
      <c r="I363" t="str">
        <v/>
      </c>
      <c r="J363" t="str">
        <v/>
      </c>
      <c r="K363" t="str">
        <v/>
      </c>
      <c r="L363" t="str">
        <v/>
      </c>
      <c r="M363" t="str">
        <v/>
      </c>
      <c r="N363" t="str">
        <v/>
      </c>
      <c r="O363" t="str">
        <v/>
      </c>
      <c r="P363" t="str">
        <v/>
      </c>
      <c r="Q363" t="str">
        <v/>
      </c>
      <c r="R363" t="str">
        <v/>
      </c>
    </row>
    <row r="364">
      <c r="A364" t="str">
        <v/>
      </c>
      <c r="B364" t="str">
        <v/>
      </c>
      <c r="C364" t="str">
        <v/>
      </c>
      <c r="D364" t="str">
        <v/>
      </c>
      <c r="E364" t="str">
        <v/>
      </c>
      <c r="F364" t="str">
        <v/>
      </c>
      <c r="G364" t="str">
        <v/>
      </c>
      <c r="H364" t="str">
        <v/>
      </c>
      <c r="I364" t="str">
        <v/>
      </c>
      <c r="J364" t="str">
        <v/>
      </c>
      <c r="K364" t="str">
        <v/>
      </c>
      <c r="L364" t="str">
        <v/>
      </c>
      <c r="M364" t="str">
        <v/>
      </c>
      <c r="N364" t="str">
        <v/>
      </c>
      <c r="O364" t="str">
        <v/>
      </c>
      <c r="P364" t="str">
        <v/>
      </c>
      <c r="Q364" t="str">
        <v/>
      </c>
      <c r="R364" t="str">
        <v/>
      </c>
    </row>
    <row r="365">
      <c r="A365" t="str">
        <v/>
      </c>
      <c r="B365" t="str">
        <v/>
      </c>
      <c r="C365" t="str">
        <v/>
      </c>
      <c r="D365" t="str">
        <v/>
      </c>
      <c r="E365" t="str">
        <v/>
      </c>
      <c r="F365" t="str">
        <v/>
      </c>
      <c r="G365" t="str">
        <v/>
      </c>
      <c r="H365" t="str">
        <v/>
      </c>
      <c r="I365" t="str">
        <v/>
      </c>
      <c r="J365" t="str">
        <v/>
      </c>
      <c r="K365" t="str">
        <v/>
      </c>
      <c r="L365" t="str">
        <v/>
      </c>
      <c r="M365" t="str">
        <v/>
      </c>
      <c r="N365" t="str">
        <v/>
      </c>
      <c r="O365" t="str">
        <v/>
      </c>
      <c r="P365" t="str">
        <v/>
      </c>
      <c r="Q365" t="str">
        <v/>
      </c>
      <c r="R365" t="str">
        <v/>
      </c>
    </row>
    <row r="366">
      <c r="A366" t="str">
        <v/>
      </c>
      <c r="B366" t="str">
        <v/>
      </c>
      <c r="C366" t="str">
        <v/>
      </c>
      <c r="D366" t="str">
        <v/>
      </c>
      <c r="E366" t="str">
        <v/>
      </c>
      <c r="F366" t="str">
        <v/>
      </c>
      <c r="G366" t="str">
        <v/>
      </c>
      <c r="H366" t="str">
        <v/>
      </c>
      <c r="I366" t="str">
        <v/>
      </c>
      <c r="J366" t="str">
        <v/>
      </c>
      <c r="K366" t="str">
        <v/>
      </c>
      <c r="L366" t="str">
        <v/>
      </c>
      <c r="M366" t="str">
        <v/>
      </c>
      <c r="N366" t="str">
        <v/>
      </c>
      <c r="O366" t="str">
        <v/>
      </c>
      <c r="P366" t="str">
        <v/>
      </c>
      <c r="Q366" t="str">
        <v/>
      </c>
      <c r="R366" t="str">
        <v/>
      </c>
    </row>
    <row r="367">
      <c r="A367" t="str">
        <v/>
      </c>
      <c r="B367" t="str">
        <v/>
      </c>
      <c r="C367" t="str">
        <v/>
      </c>
      <c r="D367" t="str">
        <v/>
      </c>
      <c r="E367" t="str">
        <v/>
      </c>
      <c r="F367" t="str">
        <v/>
      </c>
      <c r="G367" t="str">
        <v/>
      </c>
      <c r="H367" t="str">
        <v/>
      </c>
      <c r="I367" t="str">
        <v/>
      </c>
      <c r="J367" t="str">
        <v/>
      </c>
      <c r="K367" t="str">
        <v/>
      </c>
      <c r="L367" t="str">
        <v/>
      </c>
      <c r="M367" t="str">
        <v/>
      </c>
      <c r="N367" t="str">
        <v/>
      </c>
      <c r="O367" t="str">
        <v/>
      </c>
      <c r="P367" t="str">
        <v/>
      </c>
      <c r="Q367" t="str">
        <v/>
      </c>
      <c r="R367" t="str">
        <v/>
      </c>
    </row>
    <row r="368">
      <c r="A368" t="str">
        <v/>
      </c>
      <c r="B368" t="str">
        <v/>
      </c>
      <c r="C368" t="str">
        <v/>
      </c>
      <c r="D368" t="str">
        <v/>
      </c>
      <c r="E368" t="str">
        <v/>
      </c>
      <c r="F368" t="str">
        <v/>
      </c>
      <c r="G368" t="str">
        <v/>
      </c>
      <c r="H368" t="str">
        <v/>
      </c>
      <c r="I368" t="str">
        <v/>
      </c>
      <c r="J368" t="str">
        <v/>
      </c>
      <c r="K368" t="str">
        <v/>
      </c>
      <c r="L368" t="str">
        <v/>
      </c>
      <c r="M368" t="str">
        <v/>
      </c>
      <c r="N368" t="str">
        <v/>
      </c>
      <c r="O368" t="str">
        <v/>
      </c>
      <c r="P368" t="str">
        <v/>
      </c>
      <c r="Q368" t="str">
        <v/>
      </c>
      <c r="R368" t="str">
        <v/>
      </c>
    </row>
    <row r="369">
      <c r="A369" t="str">
        <v/>
      </c>
      <c r="B369" t="str">
        <v/>
      </c>
      <c r="C369" t="str">
        <v/>
      </c>
      <c r="D369" t="str">
        <v/>
      </c>
      <c r="E369" t="str">
        <v/>
      </c>
      <c r="F369" t="str">
        <v/>
      </c>
      <c r="G369" t="str">
        <v/>
      </c>
      <c r="H369" t="str">
        <v/>
      </c>
      <c r="I369" t="str">
        <v/>
      </c>
      <c r="J369" t="str">
        <v/>
      </c>
      <c r="K369" t="str">
        <v/>
      </c>
      <c r="L369" t="str">
        <v/>
      </c>
      <c r="M369" t="str">
        <v/>
      </c>
      <c r="N369" t="str">
        <v/>
      </c>
      <c r="O369" t="str">
        <v/>
      </c>
      <c r="P369" t="str">
        <v/>
      </c>
      <c r="Q369" t="str">
        <v/>
      </c>
      <c r="R369" t="str">
        <v/>
      </c>
    </row>
    <row r="370">
      <c r="A370" t="str">
        <v/>
      </c>
      <c r="B370" t="str">
        <v/>
      </c>
      <c r="C370" t="str">
        <v/>
      </c>
      <c r="D370" t="str">
        <v/>
      </c>
      <c r="E370" t="str">
        <v/>
      </c>
      <c r="F370" t="str">
        <v/>
      </c>
      <c r="G370" t="str">
        <v/>
      </c>
      <c r="H370" t="str">
        <v/>
      </c>
      <c r="I370" t="str">
        <v/>
      </c>
      <c r="J370" t="str">
        <v/>
      </c>
      <c r="K370" t="str">
        <v/>
      </c>
      <c r="L370" t="str">
        <v/>
      </c>
      <c r="M370" t="str">
        <v/>
      </c>
      <c r="N370" t="str">
        <v/>
      </c>
      <c r="O370" t="str">
        <v/>
      </c>
      <c r="P370" t="str">
        <v/>
      </c>
      <c r="Q370" t="str">
        <v/>
      </c>
      <c r="R370" t="str">
        <v/>
      </c>
    </row>
    <row r="371">
      <c r="A371" t="str">
        <v/>
      </c>
      <c r="B371" t="str">
        <v/>
      </c>
      <c r="C371" t="str">
        <v/>
      </c>
      <c r="D371" t="str">
        <v/>
      </c>
      <c r="E371" t="str">
        <v/>
      </c>
      <c r="F371" t="str">
        <v/>
      </c>
      <c r="G371" t="str">
        <v/>
      </c>
      <c r="H371" t="str">
        <v/>
      </c>
      <c r="I371" t="str">
        <v/>
      </c>
      <c r="J371" t="str">
        <v/>
      </c>
      <c r="K371" t="str">
        <v/>
      </c>
      <c r="L371" t="str">
        <v/>
      </c>
      <c r="M371" t="str">
        <v/>
      </c>
      <c r="N371" t="str">
        <v/>
      </c>
      <c r="O371" t="str">
        <v/>
      </c>
      <c r="P371" t="str">
        <v/>
      </c>
      <c r="Q371" t="str">
        <v/>
      </c>
      <c r="R371" t="str">
        <v/>
      </c>
    </row>
    <row r="372">
      <c r="A372" t="str">
        <v/>
      </c>
      <c r="B372" t="str">
        <v/>
      </c>
      <c r="C372" t="str">
        <v/>
      </c>
      <c r="D372" t="str">
        <v/>
      </c>
      <c r="E372" t="str">
        <v/>
      </c>
      <c r="F372" t="str">
        <v/>
      </c>
      <c r="G372" t="str">
        <v/>
      </c>
      <c r="H372" t="str">
        <v/>
      </c>
      <c r="I372" t="str">
        <v/>
      </c>
      <c r="J372" t="str">
        <v/>
      </c>
      <c r="K372" t="str">
        <v/>
      </c>
      <c r="L372" t="str">
        <v/>
      </c>
      <c r="M372" t="str">
        <v/>
      </c>
      <c r="N372" t="str">
        <v/>
      </c>
      <c r="O372" t="str">
        <v/>
      </c>
      <c r="P372" t="str">
        <v/>
      </c>
      <c r="Q372" t="str">
        <v/>
      </c>
      <c r="R372" t="str">
        <v/>
      </c>
    </row>
    <row r="373">
      <c r="A373" t="str">
        <v/>
      </c>
      <c r="B373" t="str">
        <v/>
      </c>
      <c r="C373" t="str">
        <v/>
      </c>
      <c r="D373" t="str">
        <v/>
      </c>
      <c r="E373" t="str">
        <v/>
      </c>
      <c r="F373" t="str">
        <v/>
      </c>
      <c r="G373" t="str">
        <v/>
      </c>
      <c r="H373" t="str">
        <v/>
      </c>
      <c r="I373" t="str">
        <v/>
      </c>
      <c r="J373" t="str">
        <v/>
      </c>
      <c r="K373" t="str">
        <v/>
      </c>
      <c r="L373" t="str">
        <v/>
      </c>
      <c r="M373" t="str">
        <v/>
      </c>
      <c r="N373" t="str">
        <v/>
      </c>
      <c r="O373" t="str">
        <v/>
      </c>
      <c r="P373" t="str">
        <v/>
      </c>
      <c r="Q373" t="str">
        <v/>
      </c>
      <c r="R373" t="str">
        <v/>
      </c>
    </row>
    <row r="374">
      <c r="A374" t="str">
        <v/>
      </c>
      <c r="B374" t="str">
        <v/>
      </c>
      <c r="C374" t="str">
        <v/>
      </c>
      <c r="D374" t="str">
        <v/>
      </c>
      <c r="E374" t="str">
        <v/>
      </c>
      <c r="F374" t="str">
        <v/>
      </c>
      <c r="G374" t="str">
        <v/>
      </c>
      <c r="H374" t="str">
        <v/>
      </c>
      <c r="I374" t="str">
        <v/>
      </c>
      <c r="J374" t="str">
        <v/>
      </c>
      <c r="K374" t="str">
        <v/>
      </c>
      <c r="L374" t="str">
        <v/>
      </c>
      <c r="M374" t="str">
        <v/>
      </c>
      <c r="N374" t="str">
        <v/>
      </c>
      <c r="O374" t="str">
        <v/>
      </c>
      <c r="P374" t="str">
        <v/>
      </c>
      <c r="Q374" t="str">
        <v/>
      </c>
      <c r="R374" t="str">
        <v/>
      </c>
    </row>
    <row r="375">
      <c r="A375" t="str">
        <v/>
      </c>
      <c r="B375" t="str">
        <v/>
      </c>
      <c r="C375" t="str">
        <v/>
      </c>
      <c r="D375" t="str">
        <v/>
      </c>
      <c r="E375" t="str">
        <v/>
      </c>
      <c r="F375" t="str">
        <v/>
      </c>
      <c r="G375" t="str">
        <v/>
      </c>
      <c r="H375" t="str">
        <v/>
      </c>
      <c r="I375" t="str">
        <v/>
      </c>
      <c r="J375" t="str">
        <v/>
      </c>
      <c r="K375" t="str">
        <v/>
      </c>
      <c r="L375" t="str">
        <v/>
      </c>
      <c r="M375" t="str">
        <v/>
      </c>
      <c r="N375" t="str">
        <v/>
      </c>
      <c r="O375" t="str">
        <v/>
      </c>
      <c r="P375" t="str">
        <v/>
      </c>
      <c r="Q375" t="str">
        <v/>
      </c>
      <c r="R375" t="str">
        <v/>
      </c>
    </row>
    <row r="376">
      <c r="A376" t="str">
        <v/>
      </c>
      <c r="B376" t="str">
        <v/>
      </c>
      <c r="C376" t="str">
        <v/>
      </c>
      <c r="D376" t="str">
        <v/>
      </c>
      <c r="E376" t="str">
        <v/>
      </c>
      <c r="F376" t="str">
        <v/>
      </c>
      <c r="G376" t="str">
        <v/>
      </c>
      <c r="H376" t="str">
        <v/>
      </c>
      <c r="I376" t="str">
        <v/>
      </c>
      <c r="J376" t="str">
        <v/>
      </c>
      <c r="K376" t="str">
        <v/>
      </c>
      <c r="L376" t="str">
        <v/>
      </c>
      <c r="M376" t="str">
        <v/>
      </c>
      <c r="N376" t="str">
        <v/>
      </c>
      <c r="O376" t="str">
        <v/>
      </c>
      <c r="P376" t="str">
        <v/>
      </c>
      <c r="Q376" t="str">
        <v/>
      </c>
      <c r="R376" t="str">
        <v/>
      </c>
    </row>
    <row r="377">
      <c r="A377" t="str">
        <v/>
      </c>
      <c r="B377" t="str">
        <v/>
      </c>
      <c r="C377" t="str">
        <v/>
      </c>
      <c r="D377" t="str">
        <v/>
      </c>
      <c r="E377" t="str">
        <v/>
      </c>
      <c r="F377" t="str">
        <v/>
      </c>
      <c r="G377" t="str">
        <v/>
      </c>
      <c r="H377" t="str">
        <v/>
      </c>
      <c r="I377" t="str">
        <v/>
      </c>
      <c r="J377" t="str">
        <v/>
      </c>
      <c r="K377" t="str">
        <v/>
      </c>
      <c r="L377" t="str">
        <v/>
      </c>
      <c r="M377" t="str">
        <v/>
      </c>
      <c r="N377" t="str">
        <v/>
      </c>
      <c r="O377" t="str">
        <v/>
      </c>
      <c r="P377" t="str">
        <v/>
      </c>
      <c r="Q377" t="str">
        <v/>
      </c>
      <c r="R377" t="str">
        <v/>
      </c>
    </row>
    <row r="378">
      <c r="A378" t="str">
        <v/>
      </c>
      <c r="B378" t="str">
        <v/>
      </c>
      <c r="C378" t="str">
        <v/>
      </c>
      <c r="D378" t="str">
        <v/>
      </c>
      <c r="E378" t="str">
        <v/>
      </c>
      <c r="F378" t="str">
        <v/>
      </c>
      <c r="G378" t="str">
        <v/>
      </c>
      <c r="H378" t="str">
        <v/>
      </c>
      <c r="I378" t="str">
        <v/>
      </c>
      <c r="J378" t="str">
        <v/>
      </c>
      <c r="K378" t="str">
        <v/>
      </c>
      <c r="L378" t="str">
        <v/>
      </c>
      <c r="M378" t="str">
        <v/>
      </c>
      <c r="N378" t="str">
        <v/>
      </c>
      <c r="O378" t="str">
        <v/>
      </c>
      <c r="P378" t="str">
        <v/>
      </c>
      <c r="Q378" t="str">
        <v/>
      </c>
      <c r="R378" t="str">
        <v/>
      </c>
    </row>
    <row r="379">
      <c r="A379" t="str">
        <v/>
      </c>
      <c r="B379" t="str">
        <v/>
      </c>
      <c r="C379" t="str">
        <v/>
      </c>
      <c r="D379" t="str">
        <v/>
      </c>
      <c r="E379" t="str">
        <v/>
      </c>
      <c r="F379" t="str">
        <v/>
      </c>
      <c r="G379" t="str">
        <v/>
      </c>
      <c r="H379" t="str">
        <v/>
      </c>
      <c r="I379" t="str">
        <v/>
      </c>
      <c r="J379" t="str">
        <v/>
      </c>
      <c r="K379" t="str">
        <v/>
      </c>
      <c r="L379" t="str">
        <v/>
      </c>
      <c r="M379" t="str">
        <v/>
      </c>
      <c r="N379" t="str">
        <v/>
      </c>
      <c r="O379" t="str">
        <v/>
      </c>
      <c r="P379" t="str">
        <v/>
      </c>
      <c r="Q379" t="str">
        <v/>
      </c>
      <c r="R379" t="str">
        <v/>
      </c>
    </row>
    <row r="380">
      <c r="A380" t="str">
        <v/>
      </c>
      <c r="B380" t="str">
        <v/>
      </c>
      <c r="C380" t="str">
        <v/>
      </c>
      <c r="D380" t="str">
        <v/>
      </c>
      <c r="E380" t="str">
        <v/>
      </c>
      <c r="F380" t="str">
        <v/>
      </c>
      <c r="G380" t="str">
        <v/>
      </c>
      <c r="H380" t="str">
        <v/>
      </c>
      <c r="I380" t="str">
        <v/>
      </c>
      <c r="J380" t="str">
        <v/>
      </c>
      <c r="K380" t="str">
        <v/>
      </c>
      <c r="L380" t="str">
        <v/>
      </c>
      <c r="M380" t="str">
        <v/>
      </c>
      <c r="N380" t="str">
        <v/>
      </c>
      <c r="O380" t="str">
        <v/>
      </c>
      <c r="P380" t="str">
        <v/>
      </c>
      <c r="Q380" t="str">
        <v/>
      </c>
      <c r="R380" t="str">
        <v/>
      </c>
    </row>
    <row r="381">
      <c r="A381" t="str">
        <v/>
      </c>
      <c r="B381" t="str">
        <v/>
      </c>
      <c r="C381" t="str">
        <v/>
      </c>
      <c r="D381" t="str">
        <v/>
      </c>
      <c r="E381" t="str">
        <v/>
      </c>
      <c r="F381" t="str">
        <v/>
      </c>
      <c r="G381" t="str">
        <v/>
      </c>
      <c r="H381" t="str">
        <v/>
      </c>
      <c r="I381" t="str">
        <v/>
      </c>
      <c r="J381" t="str">
        <v/>
      </c>
      <c r="K381" t="str">
        <v/>
      </c>
      <c r="L381" t="str">
        <v/>
      </c>
      <c r="M381" t="str">
        <v/>
      </c>
      <c r="N381" t="str">
        <v/>
      </c>
      <c r="O381" t="str">
        <v/>
      </c>
      <c r="P381" t="str">
        <v/>
      </c>
      <c r="Q381" t="str">
        <v/>
      </c>
      <c r="R381" t="str">
        <v/>
      </c>
    </row>
    <row r="382">
      <c r="A382" t="str">
        <v/>
      </c>
      <c r="B382" t="str">
        <v/>
      </c>
      <c r="C382" t="str">
        <v/>
      </c>
      <c r="D382" t="str">
        <v/>
      </c>
      <c r="E382" t="str">
        <v/>
      </c>
      <c r="F382" t="str">
        <v/>
      </c>
      <c r="G382" t="str">
        <v/>
      </c>
      <c r="H382" t="str">
        <v/>
      </c>
      <c r="I382" t="str">
        <v/>
      </c>
      <c r="J382" t="str">
        <v/>
      </c>
      <c r="K382" t="str">
        <v/>
      </c>
      <c r="L382" t="str">
        <v/>
      </c>
      <c r="M382" t="str">
        <v/>
      </c>
      <c r="N382" t="str">
        <v/>
      </c>
      <c r="O382" t="str">
        <v/>
      </c>
      <c r="P382" t="str">
        <v/>
      </c>
      <c r="Q382" t="str">
        <v/>
      </c>
      <c r="R382" t="str">
        <v/>
      </c>
    </row>
    <row r="383">
      <c r="A383" t="str">
        <v/>
      </c>
      <c r="B383" t="str">
        <v/>
      </c>
      <c r="C383" t="str">
        <v/>
      </c>
      <c r="D383" t="str">
        <v/>
      </c>
      <c r="E383" t="str">
        <v/>
      </c>
      <c r="F383" t="str">
        <v/>
      </c>
      <c r="G383" t="str">
        <v/>
      </c>
      <c r="H383" t="str">
        <v/>
      </c>
      <c r="I383" t="str">
        <v/>
      </c>
      <c r="J383" t="str">
        <v/>
      </c>
      <c r="K383" t="str">
        <v/>
      </c>
      <c r="L383" t="str">
        <v/>
      </c>
      <c r="M383" t="str">
        <v/>
      </c>
      <c r="N383" t="str">
        <v/>
      </c>
      <c r="O383" t="str">
        <v/>
      </c>
      <c r="P383" t="str">
        <v/>
      </c>
      <c r="Q383" t="str">
        <v/>
      </c>
      <c r="R383" t="str">
        <v/>
      </c>
    </row>
    <row r="384">
      <c r="A384" t="str">
        <v/>
      </c>
      <c r="B384" t="str">
        <v/>
      </c>
      <c r="C384" t="str">
        <v/>
      </c>
      <c r="D384" t="str">
        <v/>
      </c>
      <c r="E384" t="str">
        <v/>
      </c>
      <c r="F384" t="str">
        <v/>
      </c>
      <c r="G384" t="str">
        <v/>
      </c>
      <c r="H384" t="str">
        <v/>
      </c>
      <c r="I384" t="str">
        <v/>
      </c>
      <c r="J384" t="str">
        <v/>
      </c>
      <c r="K384" t="str">
        <v/>
      </c>
      <c r="L384" t="str">
        <v/>
      </c>
      <c r="M384" t="str">
        <v/>
      </c>
      <c r="N384" t="str">
        <v/>
      </c>
      <c r="O384" t="str">
        <v/>
      </c>
      <c r="P384" t="str">
        <v/>
      </c>
      <c r="Q384" t="str">
        <v/>
      </c>
      <c r="R384" t="str">
        <v/>
      </c>
    </row>
    <row r="385">
      <c r="A385" t="str">
        <v/>
      </c>
      <c r="B385" t="str">
        <v/>
      </c>
      <c r="C385" t="str">
        <v/>
      </c>
      <c r="D385" t="str">
        <v/>
      </c>
      <c r="E385" t="str">
        <v/>
      </c>
      <c r="F385" t="str">
        <v/>
      </c>
      <c r="G385" t="str">
        <v/>
      </c>
      <c r="H385" t="str">
        <v/>
      </c>
      <c r="I385" t="str">
        <v/>
      </c>
      <c r="J385" t="str">
        <v/>
      </c>
      <c r="K385" t="str">
        <v/>
      </c>
      <c r="L385" t="str">
        <v/>
      </c>
      <c r="M385" t="str">
        <v/>
      </c>
      <c r="N385" t="str">
        <v/>
      </c>
      <c r="O385" t="str">
        <v/>
      </c>
      <c r="P385" t="str">
        <v/>
      </c>
      <c r="Q385" t="str">
        <v/>
      </c>
      <c r="R385" t="str">
        <v/>
      </c>
    </row>
    <row r="386">
      <c r="A386" t="str">
        <v/>
      </c>
      <c r="B386" t="str">
        <v/>
      </c>
      <c r="C386" t="str">
        <v/>
      </c>
      <c r="D386" t="str">
        <v/>
      </c>
      <c r="E386" t="str">
        <v/>
      </c>
      <c r="F386" t="str">
        <v/>
      </c>
      <c r="G386" t="str">
        <v/>
      </c>
      <c r="H386" t="str">
        <v/>
      </c>
      <c r="I386" t="str">
        <v/>
      </c>
      <c r="J386" t="str">
        <v/>
      </c>
      <c r="K386" t="str">
        <v/>
      </c>
      <c r="L386" t="str">
        <v/>
      </c>
      <c r="M386" t="str">
        <v/>
      </c>
      <c r="N386" t="str">
        <v/>
      </c>
      <c r="O386" t="str">
        <v/>
      </c>
      <c r="P386" t="str">
        <v/>
      </c>
      <c r="Q386" t="str">
        <v/>
      </c>
      <c r="R386" t="str">
        <v/>
      </c>
    </row>
    <row r="387">
      <c r="A387" t="str">
        <v/>
      </c>
      <c r="B387" t="str">
        <v/>
      </c>
      <c r="C387" t="str">
        <v/>
      </c>
      <c r="D387" t="str">
        <v/>
      </c>
      <c r="E387" t="str">
        <v/>
      </c>
      <c r="F387" t="str">
        <v/>
      </c>
      <c r="G387" t="str">
        <v/>
      </c>
      <c r="H387" t="str">
        <v/>
      </c>
      <c r="I387" t="str">
        <v/>
      </c>
      <c r="J387" t="str">
        <v/>
      </c>
      <c r="K387" t="str">
        <v/>
      </c>
      <c r="L387" t="str">
        <v/>
      </c>
      <c r="M387" t="str">
        <v/>
      </c>
      <c r="N387" t="str">
        <v/>
      </c>
      <c r="O387" t="str">
        <v/>
      </c>
      <c r="P387" t="str">
        <v/>
      </c>
      <c r="Q387" t="str">
        <v/>
      </c>
      <c r="R387" t="str">
        <v/>
      </c>
    </row>
    <row r="388">
      <c r="A388" t="str">
        <v/>
      </c>
      <c r="B388" t="str">
        <v/>
      </c>
      <c r="C388" t="str">
        <v/>
      </c>
      <c r="D388" t="str">
        <v/>
      </c>
      <c r="E388" t="str">
        <v/>
      </c>
      <c r="F388" t="str">
        <v/>
      </c>
      <c r="G388" t="str">
        <v/>
      </c>
      <c r="H388" t="str">
        <v/>
      </c>
      <c r="I388" t="str">
        <v/>
      </c>
      <c r="J388" t="str">
        <v/>
      </c>
      <c r="K388" t="str">
        <v/>
      </c>
      <c r="L388" t="str">
        <v/>
      </c>
      <c r="M388" t="str">
        <v/>
      </c>
      <c r="N388" t="str">
        <v/>
      </c>
      <c r="O388" t="str">
        <v/>
      </c>
      <c r="P388" t="str">
        <v/>
      </c>
      <c r="Q388" t="str">
        <v/>
      </c>
      <c r="R388" t="str">
        <v/>
      </c>
    </row>
    <row r="389">
      <c r="A389" t="str">
        <v/>
      </c>
      <c r="B389" t="str">
        <v/>
      </c>
      <c r="C389" t="str">
        <v/>
      </c>
      <c r="D389" t="str">
        <v/>
      </c>
      <c r="E389" t="str">
        <v/>
      </c>
      <c r="F389" t="str">
        <v/>
      </c>
      <c r="G389" t="str">
        <v/>
      </c>
      <c r="H389" t="str">
        <v/>
      </c>
      <c r="I389" t="str">
        <v/>
      </c>
      <c r="J389" t="str">
        <v/>
      </c>
      <c r="K389" t="str">
        <v/>
      </c>
      <c r="L389" t="str">
        <v/>
      </c>
      <c r="M389" t="str">
        <v/>
      </c>
      <c r="N389" t="str">
        <v/>
      </c>
      <c r="O389" t="str">
        <v/>
      </c>
      <c r="P389" t="str">
        <v/>
      </c>
      <c r="Q389" t="str">
        <v/>
      </c>
      <c r="R389" t="str">
        <v/>
      </c>
    </row>
    <row r="390">
      <c r="A390" t="str">
        <v/>
      </c>
      <c r="B390" t="str">
        <v/>
      </c>
      <c r="C390" t="str">
        <v/>
      </c>
      <c r="D390" t="str">
        <v/>
      </c>
      <c r="E390" t="str">
        <v/>
      </c>
      <c r="F390" t="str">
        <v/>
      </c>
      <c r="G390" t="str">
        <v/>
      </c>
      <c r="H390" t="str">
        <v/>
      </c>
      <c r="I390" t="str">
        <v/>
      </c>
      <c r="J390" t="str">
        <v/>
      </c>
      <c r="K390" t="str">
        <v/>
      </c>
      <c r="L390" t="str">
        <v/>
      </c>
      <c r="M390" t="str">
        <v/>
      </c>
      <c r="N390" t="str">
        <v/>
      </c>
      <c r="O390" t="str">
        <v/>
      </c>
      <c r="P390" t="str">
        <v/>
      </c>
      <c r="Q390" t="str">
        <v/>
      </c>
      <c r="R390" t="str">
        <v/>
      </c>
    </row>
    <row r="391">
      <c r="A391" t="str">
        <v/>
      </c>
      <c r="B391" t="str">
        <v/>
      </c>
      <c r="C391" t="str">
        <v/>
      </c>
      <c r="D391" t="str">
        <v/>
      </c>
      <c r="E391" t="str">
        <v/>
      </c>
      <c r="F391" t="str">
        <v/>
      </c>
      <c r="G391" t="str">
        <v/>
      </c>
      <c r="H391" t="str">
        <v/>
      </c>
      <c r="I391" t="str">
        <v/>
      </c>
      <c r="J391" t="str">
        <v/>
      </c>
      <c r="K391" t="str">
        <v/>
      </c>
      <c r="L391" t="str">
        <v/>
      </c>
      <c r="M391" t="str">
        <v/>
      </c>
      <c r="N391" t="str">
        <v/>
      </c>
      <c r="O391" t="str">
        <v/>
      </c>
      <c r="P391" t="str">
        <v/>
      </c>
      <c r="Q391" t="str">
        <v/>
      </c>
      <c r="R391" t="str">
        <v/>
      </c>
    </row>
    <row r="392">
      <c r="A392" t="str">
        <v/>
      </c>
      <c r="B392" t="str">
        <v/>
      </c>
      <c r="C392" t="str">
        <v/>
      </c>
      <c r="D392" t="str">
        <v/>
      </c>
      <c r="E392" t="str">
        <v/>
      </c>
      <c r="F392" t="str">
        <v/>
      </c>
      <c r="G392" t="str">
        <v/>
      </c>
      <c r="H392" t="str">
        <v/>
      </c>
      <c r="I392" t="str">
        <v/>
      </c>
      <c r="J392" t="str">
        <v/>
      </c>
      <c r="K392" t="str">
        <v/>
      </c>
      <c r="L392" t="str">
        <v/>
      </c>
      <c r="M392" t="str">
        <v/>
      </c>
      <c r="N392" t="str">
        <v/>
      </c>
      <c r="O392" t="str">
        <v/>
      </c>
      <c r="P392" t="str">
        <v/>
      </c>
      <c r="Q392" t="str">
        <v/>
      </c>
      <c r="R392" t="str">
        <v/>
      </c>
    </row>
    <row r="393">
      <c r="A393" t="str">
        <v/>
      </c>
      <c r="B393" t="str">
        <v/>
      </c>
      <c r="C393" t="str">
        <v/>
      </c>
      <c r="D393" t="str">
        <v/>
      </c>
      <c r="E393" t="str">
        <v/>
      </c>
      <c r="F393" t="str">
        <v/>
      </c>
      <c r="G393" t="str">
        <v/>
      </c>
      <c r="H393" t="str">
        <v/>
      </c>
      <c r="I393" t="str">
        <v/>
      </c>
      <c r="J393" t="str">
        <v/>
      </c>
      <c r="K393" t="str">
        <v/>
      </c>
      <c r="L393" t="str">
        <v/>
      </c>
      <c r="M393" t="str">
        <v/>
      </c>
      <c r="N393" t="str">
        <v/>
      </c>
      <c r="O393" t="str">
        <v/>
      </c>
      <c r="P393" t="str">
        <v/>
      </c>
      <c r="Q393" t="str">
        <v/>
      </c>
      <c r="R393" t="str">
        <v/>
      </c>
    </row>
    <row r="394">
      <c r="A394" t="str">
        <v/>
      </c>
      <c r="B394" t="str">
        <v/>
      </c>
      <c r="C394" t="str">
        <v/>
      </c>
      <c r="D394" t="str">
        <v/>
      </c>
      <c r="E394" t="str">
        <v/>
      </c>
      <c r="F394" t="str">
        <v/>
      </c>
      <c r="G394" t="str">
        <v/>
      </c>
      <c r="H394" t="str">
        <v/>
      </c>
      <c r="I394" t="str">
        <v/>
      </c>
      <c r="J394" t="str">
        <v/>
      </c>
      <c r="K394" t="str">
        <v/>
      </c>
      <c r="L394" t="str">
        <v/>
      </c>
      <c r="M394" t="str">
        <v/>
      </c>
      <c r="N394" t="str">
        <v/>
      </c>
      <c r="O394" t="str">
        <v/>
      </c>
      <c r="P394" t="str">
        <v/>
      </c>
      <c r="Q394" t="str">
        <v/>
      </c>
      <c r="R394" t="str">
        <v/>
      </c>
    </row>
    <row r="395">
      <c r="A395" t="str">
        <v/>
      </c>
      <c r="B395" t="str">
        <v/>
      </c>
      <c r="C395" t="str">
        <v/>
      </c>
      <c r="D395" t="str">
        <v/>
      </c>
      <c r="E395" t="str">
        <v/>
      </c>
      <c r="F395" t="str">
        <v/>
      </c>
      <c r="G395" t="str">
        <v/>
      </c>
      <c r="H395" t="str">
        <v/>
      </c>
      <c r="I395" t="str">
        <v/>
      </c>
      <c r="J395" t="str">
        <v/>
      </c>
      <c r="K395" t="str">
        <v/>
      </c>
      <c r="L395" t="str">
        <v/>
      </c>
      <c r="M395" t="str">
        <v/>
      </c>
      <c r="N395" t="str">
        <v/>
      </c>
      <c r="O395" t="str">
        <v/>
      </c>
      <c r="P395" t="str">
        <v/>
      </c>
      <c r="Q395" t="str">
        <v/>
      </c>
      <c r="R395" t="str">
        <v/>
      </c>
    </row>
    <row r="396">
      <c r="A396" t="str">
        <v/>
      </c>
      <c r="B396" t="str">
        <v/>
      </c>
      <c r="C396" t="str">
        <v/>
      </c>
      <c r="D396" t="str">
        <v/>
      </c>
      <c r="E396" t="str">
        <v/>
      </c>
      <c r="F396" t="str">
        <v/>
      </c>
      <c r="G396" t="str">
        <v/>
      </c>
      <c r="H396" t="str">
        <v/>
      </c>
      <c r="I396" t="str">
        <v/>
      </c>
      <c r="J396" t="str">
        <v/>
      </c>
      <c r="K396" t="str">
        <v/>
      </c>
      <c r="L396" t="str">
        <v/>
      </c>
      <c r="M396" t="str">
        <v/>
      </c>
      <c r="N396" t="str">
        <v/>
      </c>
      <c r="O396" t="str">
        <v/>
      </c>
      <c r="P396" t="str">
        <v/>
      </c>
      <c r="Q396" t="str">
        <v/>
      </c>
      <c r="R396" t="str">
        <v/>
      </c>
    </row>
    <row r="397">
      <c r="A397" t="str">
        <v/>
      </c>
      <c r="B397" t="str">
        <v/>
      </c>
      <c r="C397" t="str">
        <v/>
      </c>
      <c r="D397" t="str">
        <v/>
      </c>
      <c r="E397" t="str">
        <v/>
      </c>
      <c r="F397" t="str">
        <v/>
      </c>
      <c r="G397" t="str">
        <v/>
      </c>
      <c r="H397" t="str">
        <v/>
      </c>
      <c r="I397" t="str">
        <v/>
      </c>
      <c r="J397" t="str">
        <v/>
      </c>
      <c r="K397" t="str">
        <v/>
      </c>
      <c r="L397" t="str">
        <v/>
      </c>
      <c r="M397" t="str">
        <v/>
      </c>
      <c r="N397" t="str">
        <v/>
      </c>
      <c r="O397" t="str">
        <v/>
      </c>
      <c r="P397" t="str">
        <v/>
      </c>
      <c r="Q397" t="str">
        <v/>
      </c>
      <c r="R397" t="str">
        <v/>
      </c>
    </row>
    <row r="398">
      <c r="A398" t="str">
        <v/>
      </c>
      <c r="B398" t="str">
        <v/>
      </c>
      <c r="C398" t="str">
        <v/>
      </c>
      <c r="D398" t="str">
        <v/>
      </c>
      <c r="E398" t="str">
        <v/>
      </c>
      <c r="F398" t="str">
        <v/>
      </c>
      <c r="G398" t="str">
        <v/>
      </c>
      <c r="H398" t="str">
        <v/>
      </c>
      <c r="I398" t="str">
        <v/>
      </c>
      <c r="J398" t="str">
        <v/>
      </c>
      <c r="K398" t="str">
        <v/>
      </c>
      <c r="L398" t="str">
        <v/>
      </c>
      <c r="M398" t="str">
        <v/>
      </c>
      <c r="N398" t="str">
        <v/>
      </c>
      <c r="O398" t="str">
        <v/>
      </c>
      <c r="P398" t="str">
        <v/>
      </c>
      <c r="Q398" t="str">
        <v/>
      </c>
      <c r="R398" t="str">
        <v/>
      </c>
    </row>
    <row r="399">
      <c r="A399" t="str">
        <v/>
      </c>
      <c r="B399" t="str">
        <v/>
      </c>
      <c r="C399" t="str">
        <v/>
      </c>
      <c r="D399" t="str">
        <v/>
      </c>
      <c r="E399" t="str">
        <v/>
      </c>
      <c r="F399" t="str">
        <v/>
      </c>
      <c r="G399" t="str">
        <v/>
      </c>
      <c r="H399" t="str">
        <v/>
      </c>
      <c r="I399" t="str">
        <v/>
      </c>
      <c r="J399" t="str">
        <v/>
      </c>
      <c r="K399" t="str">
        <v/>
      </c>
      <c r="L399" t="str">
        <v/>
      </c>
      <c r="M399" t="str">
        <v/>
      </c>
      <c r="N399" t="str">
        <v/>
      </c>
      <c r="O399" t="str">
        <v/>
      </c>
      <c r="P399" t="str">
        <v/>
      </c>
      <c r="Q399" t="str">
        <v/>
      </c>
      <c r="R399" t="str">
        <v/>
      </c>
    </row>
    <row r="400">
      <c r="A400" t="str">
        <v/>
      </c>
      <c r="B400" t="str">
        <v/>
      </c>
      <c r="C400" t="str">
        <v/>
      </c>
      <c r="D400" t="str">
        <v/>
      </c>
      <c r="E400" t="str">
        <v/>
      </c>
      <c r="F400" t="str">
        <v/>
      </c>
      <c r="G400" t="str">
        <v/>
      </c>
      <c r="H400" t="str">
        <v/>
      </c>
      <c r="I400" t="str">
        <v/>
      </c>
      <c r="J400" t="str">
        <v/>
      </c>
      <c r="K400" t="str">
        <v/>
      </c>
      <c r="L400" t="str">
        <v/>
      </c>
      <c r="M400" t="str">
        <v/>
      </c>
      <c r="N400" t="str">
        <v/>
      </c>
      <c r="O400" t="str">
        <v/>
      </c>
      <c r="P400" t="str">
        <v/>
      </c>
      <c r="Q400" t="str">
        <v/>
      </c>
      <c r="R400" t="str">
        <v/>
      </c>
    </row>
    <row r="401">
      <c r="A401" t="str">
        <v/>
      </c>
      <c r="B401" t="str">
        <v/>
      </c>
      <c r="C401" t="str">
        <v/>
      </c>
      <c r="D401" t="str">
        <v/>
      </c>
      <c r="E401" t="str">
        <v/>
      </c>
      <c r="F401" t="str">
        <v/>
      </c>
      <c r="G401" t="str">
        <v/>
      </c>
      <c r="H401" t="str">
        <v/>
      </c>
      <c r="I401" t="str">
        <v/>
      </c>
      <c r="J401" t="str">
        <v/>
      </c>
      <c r="K401" t="str">
        <v/>
      </c>
      <c r="L401" t="str">
        <v/>
      </c>
      <c r="M401" t="str">
        <v/>
      </c>
      <c r="N401" t="str">
        <v/>
      </c>
      <c r="O401" t="str">
        <v/>
      </c>
      <c r="P401" t="str">
        <v/>
      </c>
      <c r="Q401" t="str">
        <v/>
      </c>
      <c r="R401" t="str">
        <v/>
      </c>
    </row>
    <row r="402">
      <c r="A402" t="str">
        <v/>
      </c>
      <c r="B402" t="str">
        <v/>
      </c>
      <c r="C402" t="str">
        <v/>
      </c>
      <c r="D402" t="str">
        <v/>
      </c>
      <c r="E402" t="str">
        <v/>
      </c>
      <c r="F402" t="str">
        <v/>
      </c>
      <c r="G402" t="str">
        <v/>
      </c>
      <c r="H402" t="str">
        <v/>
      </c>
      <c r="I402" t="str">
        <v/>
      </c>
      <c r="J402" t="str">
        <v/>
      </c>
      <c r="K402" t="str">
        <v/>
      </c>
      <c r="L402" t="str">
        <v/>
      </c>
      <c r="M402" t="str">
        <v/>
      </c>
      <c r="N402" t="str">
        <v/>
      </c>
      <c r="O402" t="str">
        <v/>
      </c>
      <c r="P402" t="str">
        <v/>
      </c>
      <c r="Q402" t="str">
        <v/>
      </c>
      <c r="R402" t="str">
        <v/>
      </c>
    </row>
    <row r="403">
      <c r="A403" t="str">
        <v/>
      </c>
      <c r="B403" t="str">
        <v/>
      </c>
      <c r="C403" t="str">
        <v/>
      </c>
      <c r="D403" t="str">
        <v/>
      </c>
      <c r="E403" t="str">
        <v/>
      </c>
      <c r="F403" t="str">
        <v/>
      </c>
      <c r="G403" t="str">
        <v/>
      </c>
      <c r="H403" t="str">
        <v/>
      </c>
      <c r="I403" t="str">
        <v/>
      </c>
      <c r="J403" t="str">
        <v/>
      </c>
      <c r="K403" t="str">
        <v/>
      </c>
      <c r="L403" t="str">
        <v/>
      </c>
      <c r="M403" t="str">
        <v/>
      </c>
      <c r="N403" t="str">
        <v/>
      </c>
      <c r="O403" t="str">
        <v/>
      </c>
      <c r="P403" t="str">
        <v/>
      </c>
      <c r="Q403" t="str">
        <v/>
      </c>
      <c r="R403" t="str">
        <v/>
      </c>
    </row>
    <row r="404">
      <c r="A404" t="str">
        <v/>
      </c>
      <c r="B404" t="str">
        <v/>
      </c>
      <c r="C404" t="str">
        <v/>
      </c>
      <c r="D404" t="str">
        <v/>
      </c>
      <c r="E404" t="str">
        <v/>
      </c>
      <c r="F404" t="str">
        <v/>
      </c>
      <c r="G404" t="str">
        <v/>
      </c>
      <c r="H404" t="str">
        <v/>
      </c>
      <c r="I404" t="str">
        <v/>
      </c>
      <c r="J404" t="str">
        <v/>
      </c>
      <c r="K404" t="str">
        <v/>
      </c>
      <c r="L404" t="str">
        <v/>
      </c>
      <c r="M404" t="str">
        <v/>
      </c>
      <c r="N404" t="str">
        <v/>
      </c>
      <c r="O404" t="str">
        <v/>
      </c>
      <c r="P404" t="str">
        <v/>
      </c>
      <c r="Q404" t="str">
        <v/>
      </c>
      <c r="R404" t="str">
        <v/>
      </c>
    </row>
    <row r="405">
      <c r="A405" t="str">
        <v/>
      </c>
      <c r="B405" t="str">
        <v/>
      </c>
      <c r="C405" t="str">
        <v/>
      </c>
      <c r="D405" t="str">
        <v/>
      </c>
      <c r="E405" t="str">
        <v/>
      </c>
      <c r="F405" t="str">
        <v/>
      </c>
      <c r="G405" t="str">
        <v/>
      </c>
      <c r="H405" t="str">
        <v/>
      </c>
      <c r="I405" t="str">
        <v/>
      </c>
      <c r="J405" t="str">
        <v/>
      </c>
      <c r="K405" t="str">
        <v/>
      </c>
      <c r="L405" t="str">
        <v/>
      </c>
      <c r="M405" t="str">
        <v/>
      </c>
      <c r="N405" t="str">
        <v/>
      </c>
      <c r="O405" t="str">
        <v/>
      </c>
      <c r="P405" t="str">
        <v/>
      </c>
      <c r="Q405" t="str">
        <v/>
      </c>
      <c r="R405" t="str">
        <v/>
      </c>
    </row>
    <row r="406">
      <c r="A406" t="str">
        <v/>
      </c>
      <c r="B406" t="str">
        <v/>
      </c>
      <c r="C406" t="str">
        <v/>
      </c>
      <c r="D406" t="str">
        <v/>
      </c>
      <c r="E406" t="str">
        <v/>
      </c>
      <c r="F406" t="str">
        <v/>
      </c>
      <c r="G406" t="str">
        <v/>
      </c>
      <c r="H406" t="str">
        <v/>
      </c>
      <c r="I406" t="str">
        <v/>
      </c>
      <c r="J406" t="str">
        <v/>
      </c>
      <c r="K406" t="str">
        <v/>
      </c>
      <c r="L406" t="str">
        <v/>
      </c>
      <c r="M406" t="str">
        <v/>
      </c>
      <c r="N406" t="str">
        <v/>
      </c>
      <c r="O406" t="str">
        <v/>
      </c>
      <c r="P406" t="str">
        <v/>
      </c>
      <c r="Q406" t="str">
        <v/>
      </c>
      <c r="R406" t="str">
        <v/>
      </c>
    </row>
    <row r="407">
      <c r="A407" t="str">
        <v/>
      </c>
      <c r="B407" t="str">
        <v/>
      </c>
      <c r="C407" t="str">
        <v/>
      </c>
      <c r="D407" t="str">
        <v/>
      </c>
      <c r="E407" t="str">
        <v/>
      </c>
      <c r="F407" t="str">
        <v/>
      </c>
      <c r="G407" t="str">
        <v/>
      </c>
      <c r="H407" t="str">
        <v/>
      </c>
      <c r="I407" t="str">
        <v/>
      </c>
      <c r="J407" t="str">
        <v/>
      </c>
      <c r="K407" t="str">
        <v/>
      </c>
      <c r="L407" t="str">
        <v/>
      </c>
      <c r="M407" t="str">
        <v/>
      </c>
      <c r="N407" t="str">
        <v/>
      </c>
      <c r="O407" t="str">
        <v/>
      </c>
      <c r="P407" t="str">
        <v/>
      </c>
      <c r="Q407" t="str">
        <v/>
      </c>
      <c r="R407" t="str">
        <v/>
      </c>
    </row>
    <row r="408">
      <c r="A408" t="str">
        <v/>
      </c>
      <c r="B408" t="str">
        <v/>
      </c>
      <c r="C408" t="str">
        <v/>
      </c>
      <c r="D408" t="str">
        <v/>
      </c>
      <c r="E408" t="str">
        <v/>
      </c>
      <c r="F408" t="str">
        <v/>
      </c>
      <c r="G408" t="str">
        <v/>
      </c>
      <c r="H408" t="str">
        <v/>
      </c>
      <c r="I408" t="str">
        <v/>
      </c>
      <c r="J408" t="str">
        <v/>
      </c>
      <c r="K408" t="str">
        <v/>
      </c>
      <c r="L408" t="str">
        <v/>
      </c>
      <c r="M408" t="str">
        <v/>
      </c>
      <c r="N408" t="str">
        <v/>
      </c>
      <c r="O408" t="str">
        <v/>
      </c>
      <c r="P408" t="str">
        <v/>
      </c>
      <c r="Q408" t="str">
        <v/>
      </c>
      <c r="R408" t="str">
        <v/>
      </c>
    </row>
    <row r="409">
      <c r="A409" t="str">
        <v/>
      </c>
      <c r="B409" t="str">
        <v/>
      </c>
      <c r="C409" t="str">
        <v/>
      </c>
      <c r="D409" t="str">
        <v/>
      </c>
      <c r="E409" t="str">
        <v/>
      </c>
      <c r="F409" t="str">
        <v/>
      </c>
      <c r="G409" t="str">
        <v/>
      </c>
      <c r="H409" t="str">
        <v/>
      </c>
      <c r="I409" t="str">
        <v/>
      </c>
      <c r="J409" t="str">
        <v/>
      </c>
      <c r="K409" t="str">
        <v/>
      </c>
      <c r="L409" t="str">
        <v/>
      </c>
      <c r="M409" t="str">
        <v/>
      </c>
      <c r="N409" t="str">
        <v/>
      </c>
      <c r="O409" t="str">
        <v/>
      </c>
      <c r="P409" t="str">
        <v/>
      </c>
      <c r="Q409" t="str">
        <v/>
      </c>
      <c r="R409" t="str">
        <v/>
      </c>
    </row>
    <row r="410">
      <c r="A410" t="str">
        <v/>
      </c>
      <c r="B410" t="str">
        <v/>
      </c>
      <c r="C410" t="str">
        <v/>
      </c>
      <c r="D410" t="str">
        <v/>
      </c>
      <c r="E410" t="str">
        <v/>
      </c>
      <c r="F410" t="str">
        <v/>
      </c>
      <c r="G410" t="str">
        <v/>
      </c>
      <c r="H410" t="str">
        <v/>
      </c>
      <c r="I410" t="str">
        <v/>
      </c>
      <c r="J410" t="str">
        <v/>
      </c>
      <c r="K410" t="str">
        <v/>
      </c>
      <c r="L410" t="str">
        <v/>
      </c>
      <c r="M410" t="str">
        <v/>
      </c>
      <c r="N410" t="str">
        <v/>
      </c>
      <c r="O410" t="str">
        <v/>
      </c>
      <c r="P410" t="str">
        <v/>
      </c>
      <c r="Q410" t="str">
        <v/>
      </c>
      <c r="R410" t="str">
        <v/>
      </c>
    </row>
    <row r="411">
      <c r="A411" t="str">
        <v/>
      </c>
      <c r="B411" t="str">
        <v/>
      </c>
      <c r="C411" t="str">
        <v/>
      </c>
      <c r="D411" t="str">
        <v/>
      </c>
      <c r="E411" t="str">
        <v/>
      </c>
      <c r="F411" t="str">
        <v/>
      </c>
      <c r="G411" t="str">
        <v/>
      </c>
      <c r="H411" t="str">
        <v/>
      </c>
      <c r="I411" t="str">
        <v/>
      </c>
      <c r="J411" t="str">
        <v/>
      </c>
      <c r="K411" t="str">
        <v/>
      </c>
      <c r="L411" t="str">
        <v/>
      </c>
      <c r="M411" t="str">
        <v/>
      </c>
      <c r="N411" t="str">
        <v/>
      </c>
      <c r="O411" t="str">
        <v/>
      </c>
      <c r="P411" t="str">
        <v/>
      </c>
      <c r="Q411" t="str">
        <v/>
      </c>
      <c r="R411" t="str">
        <v/>
      </c>
    </row>
    <row r="412">
      <c r="A412" t="str">
        <v/>
      </c>
      <c r="B412" t="str">
        <v/>
      </c>
      <c r="C412" t="str">
        <v/>
      </c>
      <c r="D412" t="str">
        <v/>
      </c>
      <c r="E412" t="str">
        <v/>
      </c>
      <c r="F412" t="str">
        <v/>
      </c>
      <c r="G412" t="str">
        <v/>
      </c>
      <c r="H412" t="str">
        <v/>
      </c>
      <c r="I412" t="str">
        <v/>
      </c>
      <c r="J412" t="str">
        <v/>
      </c>
      <c r="K412" t="str">
        <v/>
      </c>
      <c r="L412" t="str">
        <v/>
      </c>
      <c r="M412" t="str">
        <v/>
      </c>
      <c r="N412" t="str">
        <v/>
      </c>
      <c r="O412" t="str">
        <v/>
      </c>
      <c r="P412" t="str">
        <v/>
      </c>
      <c r="Q412" t="str">
        <v/>
      </c>
      <c r="R412" t="str">
        <v/>
      </c>
    </row>
    <row r="413">
      <c r="A413" t="str">
        <v/>
      </c>
      <c r="B413" t="str">
        <v/>
      </c>
      <c r="C413" t="str">
        <v/>
      </c>
      <c r="D413" t="str">
        <v/>
      </c>
      <c r="E413" t="str">
        <v/>
      </c>
      <c r="F413" t="str">
        <v/>
      </c>
      <c r="G413" t="str">
        <v/>
      </c>
      <c r="H413" t="str">
        <v/>
      </c>
      <c r="I413" t="str">
        <v/>
      </c>
      <c r="J413" t="str">
        <v/>
      </c>
      <c r="K413" t="str">
        <v/>
      </c>
      <c r="L413" t="str">
        <v/>
      </c>
      <c r="M413" t="str">
        <v/>
      </c>
      <c r="N413" t="str">
        <v/>
      </c>
      <c r="O413" t="str">
        <v/>
      </c>
      <c r="P413" t="str">
        <v/>
      </c>
      <c r="Q413" t="str">
        <v/>
      </c>
      <c r="R413" t="str">
        <v/>
      </c>
    </row>
    <row r="414">
      <c r="A414" t="str">
        <v/>
      </c>
      <c r="B414" t="str">
        <v/>
      </c>
      <c r="C414" t="str">
        <v/>
      </c>
      <c r="D414" t="str">
        <v/>
      </c>
      <c r="E414" t="str">
        <v/>
      </c>
      <c r="F414" t="str">
        <v/>
      </c>
      <c r="G414" t="str">
        <v/>
      </c>
      <c r="H414" t="str">
        <v/>
      </c>
      <c r="I414" t="str">
        <v/>
      </c>
      <c r="J414" t="str">
        <v/>
      </c>
      <c r="K414" t="str">
        <v/>
      </c>
      <c r="L414" t="str">
        <v/>
      </c>
      <c r="M414" t="str">
        <v/>
      </c>
      <c r="N414" t="str">
        <v/>
      </c>
      <c r="O414" t="str">
        <v/>
      </c>
      <c r="P414" t="str">
        <v/>
      </c>
      <c r="Q414" t="str">
        <v/>
      </c>
      <c r="R414" t="str">
        <v/>
      </c>
    </row>
    <row r="415">
      <c r="A415" t="str">
        <v/>
      </c>
      <c r="B415" t="str">
        <v/>
      </c>
      <c r="C415" t="str">
        <v/>
      </c>
      <c r="D415" t="str">
        <v/>
      </c>
      <c r="E415" t="str">
        <v/>
      </c>
      <c r="F415" t="str">
        <v/>
      </c>
      <c r="G415" t="str">
        <v/>
      </c>
      <c r="H415" t="str">
        <v/>
      </c>
      <c r="I415" t="str">
        <v/>
      </c>
      <c r="J415" t="str">
        <v/>
      </c>
      <c r="K415" t="str">
        <v/>
      </c>
      <c r="L415" t="str">
        <v/>
      </c>
      <c r="M415" t="str">
        <v/>
      </c>
      <c r="N415" t="str">
        <v/>
      </c>
      <c r="O415" t="str">
        <v/>
      </c>
      <c r="P415" t="str">
        <v/>
      </c>
      <c r="Q415" t="str">
        <v/>
      </c>
      <c r="R415" t="str">
        <v/>
      </c>
    </row>
    <row r="416">
      <c r="A416" t="str">
        <v/>
      </c>
      <c r="B416" t="str">
        <v/>
      </c>
      <c r="C416" t="str">
        <v/>
      </c>
      <c r="D416" t="str">
        <v/>
      </c>
      <c r="E416" t="str">
        <v/>
      </c>
      <c r="F416" t="str">
        <v/>
      </c>
      <c r="G416" t="str">
        <v/>
      </c>
      <c r="H416" t="str">
        <v/>
      </c>
      <c r="I416" t="str">
        <v/>
      </c>
      <c r="J416" t="str">
        <v/>
      </c>
      <c r="K416" t="str">
        <v/>
      </c>
      <c r="L416" t="str">
        <v/>
      </c>
      <c r="M416" t="str">
        <v/>
      </c>
      <c r="N416" t="str">
        <v/>
      </c>
      <c r="O416" t="str">
        <v/>
      </c>
      <c r="P416" t="str">
        <v/>
      </c>
      <c r="Q416" t="str">
        <v/>
      </c>
      <c r="R416" t="str">
        <v/>
      </c>
    </row>
    <row r="417">
      <c r="A417" t="str">
        <v/>
      </c>
      <c r="B417" t="str">
        <v/>
      </c>
      <c r="C417" t="str">
        <v/>
      </c>
      <c r="D417" t="str">
        <v/>
      </c>
      <c r="E417" t="str">
        <v/>
      </c>
      <c r="F417" t="str">
        <v/>
      </c>
      <c r="G417" t="str">
        <v/>
      </c>
      <c r="H417" t="str">
        <v/>
      </c>
      <c r="I417" t="str">
        <v/>
      </c>
      <c r="J417" t="str">
        <v/>
      </c>
      <c r="K417" t="str">
        <v/>
      </c>
      <c r="L417" t="str">
        <v/>
      </c>
      <c r="M417" t="str">
        <v/>
      </c>
      <c r="N417" t="str">
        <v/>
      </c>
      <c r="O417" t="str">
        <v/>
      </c>
      <c r="P417" t="str">
        <v/>
      </c>
      <c r="Q417" t="str">
        <v/>
      </c>
      <c r="R417" t="str">
        <v/>
      </c>
    </row>
    <row r="418">
      <c r="A418" t="str">
        <v/>
      </c>
      <c r="B418" t="str">
        <v/>
      </c>
      <c r="C418" t="str">
        <v/>
      </c>
      <c r="D418" t="str">
        <v/>
      </c>
      <c r="E418" t="str">
        <v/>
      </c>
      <c r="F418" t="str">
        <v/>
      </c>
      <c r="G418" t="str">
        <v/>
      </c>
      <c r="H418" t="str">
        <v/>
      </c>
      <c r="I418" t="str">
        <v/>
      </c>
      <c r="J418" t="str">
        <v/>
      </c>
      <c r="K418" t="str">
        <v/>
      </c>
      <c r="L418" t="str">
        <v/>
      </c>
      <c r="M418" t="str">
        <v/>
      </c>
      <c r="N418" t="str">
        <v/>
      </c>
      <c r="O418" t="str">
        <v/>
      </c>
      <c r="P418" t="str">
        <v/>
      </c>
      <c r="Q418" t="str">
        <v/>
      </c>
      <c r="R418" t="str">
        <v/>
      </c>
    </row>
    <row r="419">
      <c r="A419" t="str">
        <v/>
      </c>
      <c r="B419" t="str">
        <v/>
      </c>
      <c r="C419" t="str">
        <v/>
      </c>
      <c r="D419" t="str">
        <v/>
      </c>
      <c r="E419" t="str">
        <v/>
      </c>
      <c r="F419" t="str">
        <v/>
      </c>
      <c r="G419" t="str">
        <v/>
      </c>
      <c r="H419" t="str">
        <v/>
      </c>
      <c r="I419" t="str">
        <v/>
      </c>
      <c r="J419" t="str">
        <v/>
      </c>
      <c r="K419" t="str">
        <v/>
      </c>
      <c r="L419" t="str">
        <v/>
      </c>
      <c r="M419" t="str">
        <v/>
      </c>
      <c r="N419" t="str">
        <v/>
      </c>
      <c r="O419" t="str">
        <v/>
      </c>
      <c r="P419" t="str">
        <v/>
      </c>
      <c r="Q419" t="str">
        <v/>
      </c>
      <c r="R419" t="str">
        <v/>
      </c>
    </row>
    <row r="420">
      <c r="A420" t="str">
        <v/>
      </c>
      <c r="B420" t="str">
        <v/>
      </c>
      <c r="C420" t="str">
        <v/>
      </c>
      <c r="D420" t="str">
        <v/>
      </c>
      <c r="E420" t="str">
        <v/>
      </c>
      <c r="F420" t="str">
        <v/>
      </c>
      <c r="G420" t="str">
        <v/>
      </c>
      <c r="H420" t="str">
        <v/>
      </c>
      <c r="I420" t="str">
        <v/>
      </c>
      <c r="J420" t="str">
        <v/>
      </c>
      <c r="K420" t="str">
        <v/>
      </c>
      <c r="L420" t="str">
        <v/>
      </c>
      <c r="M420" t="str">
        <v/>
      </c>
      <c r="N420" t="str">
        <v/>
      </c>
      <c r="O420" t="str">
        <v/>
      </c>
      <c r="P420" t="str">
        <v/>
      </c>
      <c r="Q420" t="str">
        <v/>
      </c>
      <c r="R420" t="str">
        <v/>
      </c>
    </row>
    <row r="421">
      <c r="A421" t="str">
        <v/>
      </c>
      <c r="B421" t="str">
        <v/>
      </c>
      <c r="C421" t="str">
        <v/>
      </c>
      <c r="D421" t="str">
        <v/>
      </c>
      <c r="E421" t="str">
        <v/>
      </c>
      <c r="F421" t="str">
        <v/>
      </c>
      <c r="G421" t="str">
        <v/>
      </c>
      <c r="H421" t="str">
        <v/>
      </c>
      <c r="I421" t="str">
        <v/>
      </c>
      <c r="J421" t="str">
        <v/>
      </c>
      <c r="K421" t="str">
        <v/>
      </c>
      <c r="L421" t="str">
        <v/>
      </c>
      <c r="M421" t="str">
        <v/>
      </c>
      <c r="N421" t="str">
        <v/>
      </c>
      <c r="O421" t="str">
        <v/>
      </c>
      <c r="P421" t="str">
        <v/>
      </c>
      <c r="Q421" t="str">
        <v/>
      </c>
      <c r="R421" t="str">
        <v/>
      </c>
    </row>
    <row r="422">
      <c r="A422" t="str">
        <v/>
      </c>
      <c r="B422" t="str">
        <v/>
      </c>
      <c r="C422" t="str">
        <v/>
      </c>
      <c r="D422" t="str">
        <v/>
      </c>
      <c r="E422" t="str">
        <v/>
      </c>
      <c r="F422" t="str">
        <v/>
      </c>
      <c r="G422" t="str">
        <v/>
      </c>
      <c r="H422" t="str">
        <v/>
      </c>
      <c r="I422" t="str">
        <v/>
      </c>
      <c r="J422" t="str">
        <v/>
      </c>
      <c r="K422" t="str">
        <v/>
      </c>
      <c r="L422" t="str">
        <v/>
      </c>
      <c r="M422" t="str">
        <v/>
      </c>
      <c r="N422" t="str">
        <v/>
      </c>
      <c r="O422" t="str">
        <v/>
      </c>
      <c r="P422" t="str">
        <v/>
      </c>
      <c r="Q422" t="str">
        <v/>
      </c>
      <c r="R422" t="str">
        <v/>
      </c>
    </row>
    <row r="423">
      <c r="A423" t="str">
        <v/>
      </c>
      <c r="B423" t="str">
        <v/>
      </c>
      <c r="C423" t="str">
        <v/>
      </c>
      <c r="D423" t="str">
        <v/>
      </c>
      <c r="E423" t="str">
        <v/>
      </c>
      <c r="F423" t="str">
        <v/>
      </c>
      <c r="G423" t="str">
        <v/>
      </c>
      <c r="H423" t="str">
        <v/>
      </c>
      <c r="I423" t="str">
        <v/>
      </c>
      <c r="J423" t="str">
        <v/>
      </c>
      <c r="K423" t="str">
        <v/>
      </c>
      <c r="L423" t="str">
        <v/>
      </c>
      <c r="M423" t="str">
        <v/>
      </c>
      <c r="N423" t="str">
        <v/>
      </c>
      <c r="O423" t="str">
        <v/>
      </c>
      <c r="P423" t="str">
        <v/>
      </c>
      <c r="Q423" t="str">
        <v/>
      </c>
      <c r="R423" t="str">
        <v/>
      </c>
    </row>
    <row r="424">
      <c r="A424" t="str">
        <v/>
      </c>
      <c r="B424" t="str">
        <v/>
      </c>
      <c r="C424" t="str">
        <v/>
      </c>
      <c r="D424" t="str">
        <v/>
      </c>
      <c r="E424" t="str">
        <v/>
      </c>
      <c r="F424" t="str">
        <v/>
      </c>
      <c r="G424" t="str">
        <v/>
      </c>
      <c r="H424" t="str">
        <v/>
      </c>
      <c r="I424" t="str">
        <v/>
      </c>
      <c r="J424" t="str">
        <v/>
      </c>
      <c r="K424" t="str">
        <v/>
      </c>
      <c r="L424" t="str">
        <v/>
      </c>
      <c r="M424" t="str">
        <v/>
      </c>
      <c r="N424" t="str">
        <v/>
      </c>
      <c r="O424" t="str">
        <v/>
      </c>
      <c r="P424" t="str">
        <v/>
      </c>
      <c r="Q424" t="str">
        <v/>
      </c>
      <c r="R424" t="str">
        <v/>
      </c>
    </row>
    <row r="425">
      <c r="A425" t="str">
        <v/>
      </c>
      <c r="B425" t="str">
        <v/>
      </c>
      <c r="C425" t="str">
        <v/>
      </c>
      <c r="D425" t="str">
        <v/>
      </c>
      <c r="E425" t="str">
        <v/>
      </c>
      <c r="F425" t="str">
        <v/>
      </c>
      <c r="G425" t="str">
        <v/>
      </c>
      <c r="H425" t="str">
        <v/>
      </c>
      <c r="I425" t="str">
        <v/>
      </c>
      <c r="J425" t="str">
        <v/>
      </c>
      <c r="K425" t="str">
        <v/>
      </c>
      <c r="L425" t="str">
        <v/>
      </c>
      <c r="M425" t="str">
        <v/>
      </c>
      <c r="N425" t="str">
        <v/>
      </c>
      <c r="O425" t="str">
        <v/>
      </c>
      <c r="P425" t="str">
        <v/>
      </c>
      <c r="Q425" t="str">
        <v/>
      </c>
      <c r="R425" t="str">
        <v/>
      </c>
    </row>
    <row r="426">
      <c r="A426" t="str">
        <v/>
      </c>
      <c r="B426" t="str">
        <v/>
      </c>
      <c r="C426" t="str">
        <v/>
      </c>
      <c r="D426" t="str">
        <v/>
      </c>
      <c r="E426" t="str">
        <v/>
      </c>
      <c r="F426" t="str">
        <v/>
      </c>
      <c r="G426" t="str">
        <v/>
      </c>
      <c r="H426" t="str">
        <v/>
      </c>
      <c r="I426" t="str">
        <v/>
      </c>
      <c r="J426" t="str">
        <v/>
      </c>
      <c r="K426" t="str">
        <v/>
      </c>
      <c r="L426" t="str">
        <v/>
      </c>
      <c r="M426" t="str">
        <v/>
      </c>
      <c r="N426" t="str">
        <v/>
      </c>
      <c r="O426" t="str">
        <v/>
      </c>
      <c r="P426" t="str">
        <v/>
      </c>
      <c r="Q426" t="str">
        <v/>
      </c>
      <c r="R426" t="str">
        <v/>
      </c>
    </row>
    <row r="427">
      <c r="A427" t="str">
        <v/>
      </c>
      <c r="B427" t="str">
        <v/>
      </c>
      <c r="C427" t="str">
        <v/>
      </c>
      <c r="D427" t="str">
        <v/>
      </c>
      <c r="E427" t="str">
        <v/>
      </c>
      <c r="F427" t="str">
        <v/>
      </c>
      <c r="G427" t="str">
        <v/>
      </c>
      <c r="H427" t="str">
        <v/>
      </c>
      <c r="I427" t="str">
        <v/>
      </c>
      <c r="J427" t="str">
        <v/>
      </c>
      <c r="K427" t="str">
        <v/>
      </c>
      <c r="L427" t="str">
        <v/>
      </c>
      <c r="M427" t="str">
        <v/>
      </c>
      <c r="N427" t="str">
        <v/>
      </c>
      <c r="O427" t="str">
        <v/>
      </c>
      <c r="P427" t="str">
        <v/>
      </c>
      <c r="Q427" t="str">
        <v/>
      </c>
      <c r="R427" t="str">
        <v/>
      </c>
    </row>
    <row r="428">
      <c r="A428" t="str">
        <v/>
      </c>
      <c r="B428" t="str">
        <v/>
      </c>
      <c r="C428" t="str">
        <v/>
      </c>
      <c r="D428" t="str">
        <v/>
      </c>
      <c r="E428" t="str">
        <v/>
      </c>
      <c r="F428" t="str">
        <v/>
      </c>
      <c r="G428" t="str">
        <v/>
      </c>
      <c r="H428" t="str">
        <v/>
      </c>
      <c r="I428" t="str">
        <v/>
      </c>
      <c r="J428" t="str">
        <v/>
      </c>
      <c r="K428" t="str">
        <v/>
      </c>
      <c r="L428" t="str">
        <v/>
      </c>
      <c r="M428" t="str">
        <v/>
      </c>
      <c r="N428" t="str">
        <v/>
      </c>
      <c r="O428" t="str">
        <v/>
      </c>
      <c r="P428" t="str">
        <v/>
      </c>
      <c r="Q428" t="str">
        <v/>
      </c>
      <c r="R428" t="str">
        <v/>
      </c>
    </row>
    <row r="429">
      <c r="A429" t="str">
        <v/>
      </c>
      <c r="B429" t="str">
        <v/>
      </c>
      <c r="C429" t="str">
        <v/>
      </c>
      <c r="D429" t="str">
        <v/>
      </c>
      <c r="E429" t="str">
        <v/>
      </c>
      <c r="F429" t="str">
        <v/>
      </c>
      <c r="G429" t="str">
        <v/>
      </c>
      <c r="H429" t="str">
        <v/>
      </c>
      <c r="I429" t="str">
        <v/>
      </c>
      <c r="J429" t="str">
        <v/>
      </c>
      <c r="K429" t="str">
        <v/>
      </c>
      <c r="L429" t="str">
        <v/>
      </c>
      <c r="M429" t="str">
        <v/>
      </c>
      <c r="N429" t="str">
        <v/>
      </c>
      <c r="O429" t="str">
        <v/>
      </c>
      <c r="P429" t="str">
        <v/>
      </c>
      <c r="Q429" t="str">
        <v/>
      </c>
      <c r="R429" t="str">
        <v/>
      </c>
    </row>
    <row r="430">
      <c r="A430" t="str">
        <v/>
      </c>
      <c r="B430" t="str">
        <v/>
      </c>
      <c r="C430" t="str">
        <v/>
      </c>
      <c r="D430" t="str">
        <v/>
      </c>
      <c r="E430" t="str">
        <v/>
      </c>
      <c r="F430" t="str">
        <v/>
      </c>
      <c r="G430" t="str">
        <v/>
      </c>
      <c r="H430" t="str">
        <v/>
      </c>
      <c r="I430" t="str">
        <v/>
      </c>
      <c r="J430" t="str">
        <v/>
      </c>
      <c r="K430" t="str">
        <v/>
      </c>
      <c r="L430" t="str">
        <v/>
      </c>
      <c r="M430" t="str">
        <v/>
      </c>
      <c r="N430" t="str">
        <v/>
      </c>
      <c r="O430" t="str">
        <v/>
      </c>
      <c r="P430" t="str">
        <v/>
      </c>
      <c r="Q430" t="str">
        <v/>
      </c>
      <c r="R430" t="str">
        <v/>
      </c>
    </row>
    <row r="431">
      <c r="A431" t="str">
        <v/>
      </c>
      <c r="B431" t="str">
        <v/>
      </c>
      <c r="C431" t="str">
        <v/>
      </c>
      <c r="D431" t="str">
        <v/>
      </c>
      <c r="E431" t="str">
        <v/>
      </c>
      <c r="F431" t="str">
        <v/>
      </c>
      <c r="G431" t="str">
        <v/>
      </c>
      <c r="H431" t="str">
        <v/>
      </c>
      <c r="I431" t="str">
        <v/>
      </c>
      <c r="J431" t="str">
        <v/>
      </c>
      <c r="K431" t="str">
        <v/>
      </c>
      <c r="L431" t="str">
        <v/>
      </c>
      <c r="M431" t="str">
        <v/>
      </c>
      <c r="N431" t="str">
        <v/>
      </c>
      <c r="O431" t="str">
        <v/>
      </c>
      <c r="P431" t="str">
        <v/>
      </c>
      <c r="Q431" t="str">
        <v/>
      </c>
      <c r="R431" t="str">
        <v/>
      </c>
    </row>
    <row r="432">
      <c r="A432" t="str">
        <v/>
      </c>
      <c r="B432" t="str">
        <v/>
      </c>
      <c r="C432" t="str">
        <v/>
      </c>
      <c r="D432" t="str">
        <v/>
      </c>
      <c r="E432" t="str">
        <v/>
      </c>
      <c r="F432" t="str">
        <v/>
      </c>
      <c r="G432" t="str">
        <v/>
      </c>
      <c r="H432" t="str">
        <v/>
      </c>
      <c r="I432" t="str">
        <v/>
      </c>
      <c r="J432" t="str">
        <v/>
      </c>
      <c r="K432" t="str">
        <v/>
      </c>
      <c r="L432" t="str">
        <v/>
      </c>
      <c r="M432" t="str">
        <v/>
      </c>
      <c r="N432" t="str">
        <v/>
      </c>
      <c r="O432" t="str">
        <v/>
      </c>
      <c r="P432" t="str">
        <v/>
      </c>
      <c r="Q432" t="str">
        <v/>
      </c>
      <c r="R432" t="str">
        <v/>
      </c>
    </row>
    <row r="433">
      <c r="A433" t="str">
        <v/>
      </c>
      <c r="B433" t="str">
        <v/>
      </c>
      <c r="C433" t="str">
        <v/>
      </c>
      <c r="D433" t="str">
        <v/>
      </c>
      <c r="E433" t="str">
        <v/>
      </c>
      <c r="F433" t="str">
        <v/>
      </c>
      <c r="G433" t="str">
        <v/>
      </c>
      <c r="H433" t="str">
        <v/>
      </c>
      <c r="I433" t="str">
        <v/>
      </c>
      <c r="J433" t="str">
        <v/>
      </c>
      <c r="K433" t="str">
        <v/>
      </c>
      <c r="L433" t="str">
        <v/>
      </c>
      <c r="M433" t="str">
        <v/>
      </c>
      <c r="N433" t="str">
        <v/>
      </c>
      <c r="O433" t="str">
        <v/>
      </c>
      <c r="P433" t="str">
        <v/>
      </c>
      <c r="Q433" t="str">
        <v/>
      </c>
      <c r="R433" t="str">
        <v/>
      </c>
    </row>
    <row r="434">
      <c r="A434" t="str">
        <v/>
      </c>
      <c r="B434" t="str">
        <v/>
      </c>
      <c r="C434" t="str">
        <v/>
      </c>
      <c r="D434" t="str">
        <v/>
      </c>
      <c r="E434" t="str">
        <v/>
      </c>
      <c r="F434" t="str">
        <v/>
      </c>
      <c r="G434" t="str">
        <v/>
      </c>
      <c r="H434" t="str">
        <v/>
      </c>
      <c r="I434" t="str">
        <v/>
      </c>
      <c r="J434" t="str">
        <v/>
      </c>
      <c r="K434" t="str">
        <v/>
      </c>
      <c r="L434" t="str">
        <v/>
      </c>
      <c r="M434" t="str">
        <v/>
      </c>
      <c r="N434" t="str">
        <v/>
      </c>
      <c r="O434" t="str">
        <v/>
      </c>
      <c r="P434" t="str">
        <v/>
      </c>
      <c r="Q434" t="str">
        <v/>
      </c>
      <c r="R434" t="str">
        <v/>
      </c>
    </row>
    <row r="435">
      <c r="A435" t="str">
        <v/>
      </c>
      <c r="B435" t="str">
        <v/>
      </c>
      <c r="C435" t="str">
        <v/>
      </c>
      <c r="D435" t="str">
        <v/>
      </c>
      <c r="E435" t="str">
        <v/>
      </c>
      <c r="F435" t="str">
        <v/>
      </c>
      <c r="G435" t="str">
        <v/>
      </c>
      <c r="H435" t="str">
        <v/>
      </c>
      <c r="I435" t="str">
        <v/>
      </c>
      <c r="J435" t="str">
        <v/>
      </c>
      <c r="K435" t="str">
        <v/>
      </c>
      <c r="L435" t="str">
        <v/>
      </c>
      <c r="M435" t="str">
        <v/>
      </c>
      <c r="N435" t="str">
        <v/>
      </c>
      <c r="O435" t="str">
        <v/>
      </c>
      <c r="P435" t="str">
        <v/>
      </c>
      <c r="Q435" t="str">
        <v/>
      </c>
      <c r="R435" t="str">
        <v/>
      </c>
    </row>
    <row r="436">
      <c r="A436" t="str">
        <v/>
      </c>
      <c r="B436" t="str">
        <v/>
      </c>
      <c r="C436" t="str">
        <v/>
      </c>
      <c r="D436" t="str">
        <v/>
      </c>
      <c r="E436" t="str">
        <v/>
      </c>
      <c r="F436" t="str">
        <v/>
      </c>
      <c r="G436" t="str">
        <v/>
      </c>
      <c r="H436" t="str">
        <v/>
      </c>
      <c r="I436" t="str">
        <v/>
      </c>
      <c r="J436" t="str">
        <v/>
      </c>
      <c r="K436" t="str">
        <v/>
      </c>
      <c r="L436" t="str">
        <v/>
      </c>
      <c r="M436" t="str">
        <v/>
      </c>
      <c r="N436" t="str">
        <v/>
      </c>
      <c r="O436" t="str">
        <v/>
      </c>
      <c r="P436" t="str">
        <v/>
      </c>
      <c r="Q436" t="str">
        <v/>
      </c>
      <c r="R436" t="str">
        <v/>
      </c>
    </row>
    <row r="437">
      <c r="A437" t="str">
        <v/>
      </c>
      <c r="B437" t="str">
        <v/>
      </c>
      <c r="C437" t="str">
        <v/>
      </c>
      <c r="D437" t="str">
        <v/>
      </c>
      <c r="E437" t="str">
        <v/>
      </c>
      <c r="F437" t="str">
        <v/>
      </c>
      <c r="G437" t="str">
        <v/>
      </c>
      <c r="H437" t="str">
        <v/>
      </c>
      <c r="I437" t="str">
        <v/>
      </c>
      <c r="J437" t="str">
        <v/>
      </c>
      <c r="K437" t="str">
        <v/>
      </c>
      <c r="L437" t="str">
        <v/>
      </c>
      <c r="M437" t="str">
        <v/>
      </c>
      <c r="N437" t="str">
        <v/>
      </c>
      <c r="O437" t="str">
        <v/>
      </c>
      <c r="P437" t="str">
        <v/>
      </c>
      <c r="Q437" t="str">
        <v/>
      </c>
      <c r="R437" t="str">
        <v/>
      </c>
    </row>
    <row r="438">
      <c r="A438" t="str">
        <v/>
      </c>
      <c r="B438" t="str">
        <v/>
      </c>
      <c r="C438" t="str">
        <v/>
      </c>
      <c r="D438" t="str">
        <v/>
      </c>
      <c r="E438" t="str">
        <v/>
      </c>
      <c r="F438" t="str">
        <v/>
      </c>
      <c r="G438" t="str">
        <v/>
      </c>
      <c r="H438" t="str">
        <v/>
      </c>
      <c r="I438" t="str">
        <v/>
      </c>
      <c r="J438" t="str">
        <v/>
      </c>
      <c r="K438" t="str">
        <v/>
      </c>
      <c r="L438" t="str">
        <v/>
      </c>
      <c r="M438" t="str">
        <v/>
      </c>
      <c r="N438" t="str">
        <v/>
      </c>
      <c r="O438" t="str">
        <v/>
      </c>
      <c r="P438" t="str">
        <v/>
      </c>
      <c r="Q438" t="str">
        <v/>
      </c>
      <c r="R438" t="str">
        <v/>
      </c>
    </row>
    <row r="439">
      <c r="A439" t="str">
        <v/>
      </c>
      <c r="B439" t="str">
        <v/>
      </c>
      <c r="C439" t="str">
        <v/>
      </c>
      <c r="D439" t="str">
        <v/>
      </c>
      <c r="E439" t="str">
        <v/>
      </c>
      <c r="F439" t="str">
        <v/>
      </c>
      <c r="G439" t="str">
        <v/>
      </c>
      <c r="H439" t="str">
        <v/>
      </c>
      <c r="I439" t="str">
        <v/>
      </c>
      <c r="J439" t="str">
        <v/>
      </c>
      <c r="K439" t="str">
        <v/>
      </c>
      <c r="L439" t="str">
        <v/>
      </c>
      <c r="M439" t="str">
        <v/>
      </c>
      <c r="N439" t="str">
        <v/>
      </c>
      <c r="O439" t="str">
        <v/>
      </c>
      <c r="P439" t="str">
        <v/>
      </c>
      <c r="Q439" t="str">
        <v/>
      </c>
      <c r="R439" t="str">
        <v/>
      </c>
    </row>
    <row r="440">
      <c r="A440" t="str">
        <v/>
      </c>
      <c r="B440" t="str">
        <v/>
      </c>
      <c r="C440" t="str">
        <v/>
      </c>
      <c r="D440" t="str">
        <v/>
      </c>
      <c r="E440" t="str">
        <v/>
      </c>
      <c r="F440" t="str">
        <v/>
      </c>
      <c r="G440" t="str">
        <v/>
      </c>
      <c r="H440" t="str">
        <v/>
      </c>
      <c r="I440" t="str">
        <v/>
      </c>
      <c r="J440" t="str">
        <v/>
      </c>
      <c r="K440" t="str">
        <v/>
      </c>
      <c r="L440" t="str">
        <v/>
      </c>
      <c r="M440" t="str">
        <v/>
      </c>
      <c r="N440" t="str">
        <v/>
      </c>
      <c r="O440" t="str">
        <v/>
      </c>
      <c r="P440" t="str">
        <v/>
      </c>
      <c r="Q440" t="str">
        <v/>
      </c>
      <c r="R440" t="str">
        <v/>
      </c>
    </row>
    <row r="441">
      <c r="A441" t="str">
        <v/>
      </c>
      <c r="B441" t="str">
        <v/>
      </c>
      <c r="C441" t="str">
        <v/>
      </c>
      <c r="D441" t="str">
        <v/>
      </c>
      <c r="E441" t="str">
        <v/>
      </c>
      <c r="F441" t="str">
        <v/>
      </c>
      <c r="G441" t="str">
        <v/>
      </c>
      <c r="H441" t="str">
        <v/>
      </c>
      <c r="I441" t="str">
        <v/>
      </c>
      <c r="J441" t="str">
        <v/>
      </c>
      <c r="K441" t="str">
        <v/>
      </c>
      <c r="L441" t="str">
        <v/>
      </c>
      <c r="M441" t="str">
        <v/>
      </c>
      <c r="N441" t="str">
        <v/>
      </c>
      <c r="O441" t="str">
        <v/>
      </c>
      <c r="P441" t="str">
        <v/>
      </c>
      <c r="Q441" t="str">
        <v/>
      </c>
      <c r="R441" t="str">
        <v/>
      </c>
    </row>
    <row r="442">
      <c r="A442" t="str">
        <v/>
      </c>
      <c r="B442" t="str">
        <v/>
      </c>
      <c r="C442" t="str">
        <v/>
      </c>
      <c r="D442" t="str">
        <v/>
      </c>
      <c r="E442" t="str">
        <v/>
      </c>
      <c r="F442" t="str">
        <v/>
      </c>
      <c r="G442" t="str">
        <v/>
      </c>
      <c r="H442" t="str">
        <v/>
      </c>
      <c r="I442" t="str">
        <v/>
      </c>
      <c r="J442" t="str">
        <v/>
      </c>
      <c r="K442" t="str">
        <v/>
      </c>
      <c r="L442" t="str">
        <v/>
      </c>
      <c r="M442" t="str">
        <v/>
      </c>
      <c r="N442" t="str">
        <v/>
      </c>
      <c r="O442" t="str">
        <v/>
      </c>
      <c r="P442" t="str">
        <v/>
      </c>
      <c r="Q442" t="str">
        <v/>
      </c>
      <c r="R442" t="str">
        <v/>
      </c>
    </row>
    <row r="443">
      <c r="A443" t="str">
        <v/>
      </c>
      <c r="B443" t="str">
        <v/>
      </c>
      <c r="C443" t="str">
        <v/>
      </c>
      <c r="D443" t="str">
        <v/>
      </c>
      <c r="E443" t="str">
        <v/>
      </c>
      <c r="F443" t="str">
        <v/>
      </c>
      <c r="G443" t="str">
        <v/>
      </c>
      <c r="H443" t="str">
        <v/>
      </c>
      <c r="I443" t="str">
        <v/>
      </c>
      <c r="J443" t="str">
        <v/>
      </c>
      <c r="K443" t="str">
        <v/>
      </c>
      <c r="L443" t="str">
        <v/>
      </c>
      <c r="M443" t="str">
        <v/>
      </c>
      <c r="N443" t="str">
        <v/>
      </c>
      <c r="O443" t="str">
        <v/>
      </c>
      <c r="P443" t="str">
        <v/>
      </c>
      <c r="Q443" t="str">
        <v/>
      </c>
      <c r="R443" t="str">
        <v/>
      </c>
    </row>
    <row r="444">
      <c r="A444" t="str">
        <v/>
      </c>
      <c r="B444" t="str">
        <v/>
      </c>
      <c r="C444" t="str">
        <v/>
      </c>
      <c r="D444" t="str">
        <v/>
      </c>
      <c r="E444" t="str">
        <v/>
      </c>
      <c r="F444" t="str">
        <v/>
      </c>
      <c r="G444" t="str">
        <v/>
      </c>
      <c r="H444" t="str">
        <v/>
      </c>
      <c r="I444" t="str">
        <v/>
      </c>
      <c r="J444" t="str">
        <v/>
      </c>
      <c r="K444" t="str">
        <v/>
      </c>
      <c r="L444" t="str">
        <v/>
      </c>
      <c r="M444" t="str">
        <v/>
      </c>
      <c r="N444" t="str">
        <v/>
      </c>
      <c r="O444" t="str">
        <v/>
      </c>
      <c r="P444" t="str">
        <v/>
      </c>
      <c r="Q444" t="str">
        <v/>
      </c>
      <c r="R444" t="str">
        <v/>
      </c>
    </row>
    <row r="445">
      <c r="A445" t="str">
        <v/>
      </c>
      <c r="B445" t="str">
        <v/>
      </c>
      <c r="C445" t="str">
        <v/>
      </c>
      <c r="D445" t="str">
        <v/>
      </c>
      <c r="E445" t="str">
        <v/>
      </c>
      <c r="F445" t="str">
        <v/>
      </c>
      <c r="G445" t="str">
        <v/>
      </c>
      <c r="H445" t="str">
        <v/>
      </c>
      <c r="I445" t="str">
        <v/>
      </c>
      <c r="J445" t="str">
        <v/>
      </c>
      <c r="K445" t="str">
        <v/>
      </c>
      <c r="L445" t="str">
        <v/>
      </c>
      <c r="M445" t="str">
        <v/>
      </c>
      <c r="N445" t="str">
        <v/>
      </c>
      <c r="O445" t="str">
        <v/>
      </c>
      <c r="P445" t="str">
        <v/>
      </c>
      <c r="Q445" t="str">
        <v/>
      </c>
      <c r="R445" t="str">
        <v/>
      </c>
    </row>
    <row r="446">
      <c r="A446" t="str">
        <v/>
      </c>
      <c r="B446" t="str">
        <v/>
      </c>
      <c r="C446" t="str">
        <v/>
      </c>
      <c r="D446" t="str">
        <v/>
      </c>
      <c r="E446" t="str">
        <v/>
      </c>
      <c r="F446" t="str">
        <v/>
      </c>
      <c r="G446" t="str">
        <v/>
      </c>
      <c r="H446" t="str">
        <v/>
      </c>
      <c r="I446" t="str">
        <v/>
      </c>
      <c r="J446" t="str">
        <v/>
      </c>
      <c r="K446" t="str">
        <v/>
      </c>
      <c r="L446" t="str">
        <v/>
      </c>
      <c r="M446" t="str">
        <v/>
      </c>
      <c r="N446" t="str">
        <v/>
      </c>
      <c r="O446" t="str">
        <v/>
      </c>
      <c r="P446" t="str">
        <v/>
      </c>
      <c r="Q446" t="str">
        <v/>
      </c>
      <c r="R446" t="str">
        <v/>
      </c>
    </row>
    <row r="447">
      <c r="A447" t="str">
        <v/>
      </c>
      <c r="B447" t="str">
        <v/>
      </c>
      <c r="C447" t="str">
        <v/>
      </c>
      <c r="D447" t="str">
        <v/>
      </c>
      <c r="E447" t="str">
        <v/>
      </c>
      <c r="F447" t="str">
        <v/>
      </c>
      <c r="G447" t="str">
        <v/>
      </c>
      <c r="H447" t="str">
        <v/>
      </c>
      <c r="I447" t="str">
        <v/>
      </c>
      <c r="J447" t="str">
        <v/>
      </c>
      <c r="K447" t="str">
        <v/>
      </c>
      <c r="L447" t="str">
        <v/>
      </c>
      <c r="M447" t="str">
        <v/>
      </c>
      <c r="N447" t="str">
        <v/>
      </c>
      <c r="O447" t="str">
        <v/>
      </c>
      <c r="P447" t="str">
        <v/>
      </c>
      <c r="Q447" t="str">
        <v/>
      </c>
      <c r="R447" t="str">
        <v/>
      </c>
    </row>
    <row r="448">
      <c r="A448" t="str">
        <v/>
      </c>
      <c r="B448" t="str">
        <v/>
      </c>
      <c r="C448" t="str">
        <v/>
      </c>
      <c r="D448" t="str">
        <v/>
      </c>
      <c r="E448" t="str">
        <v/>
      </c>
      <c r="F448" t="str">
        <v/>
      </c>
      <c r="G448" t="str">
        <v/>
      </c>
      <c r="H448" t="str">
        <v/>
      </c>
      <c r="I448" t="str">
        <v/>
      </c>
      <c r="J448" t="str">
        <v/>
      </c>
      <c r="K448" t="str">
        <v/>
      </c>
      <c r="L448" t="str">
        <v/>
      </c>
      <c r="M448" t="str">
        <v/>
      </c>
      <c r="N448" t="str">
        <v/>
      </c>
      <c r="O448" t="str">
        <v/>
      </c>
      <c r="P448" t="str">
        <v/>
      </c>
      <c r="Q448" t="str">
        <v/>
      </c>
      <c r="R448" t="str">
        <v/>
      </c>
    </row>
    <row r="449">
      <c r="A449" t="str">
        <v/>
      </c>
      <c r="B449" t="str">
        <v/>
      </c>
      <c r="C449" t="str">
        <v/>
      </c>
      <c r="D449" t="str">
        <v/>
      </c>
      <c r="E449" t="str">
        <v/>
      </c>
      <c r="F449" t="str">
        <v/>
      </c>
      <c r="G449" t="str">
        <v/>
      </c>
      <c r="H449" t="str">
        <v/>
      </c>
      <c r="I449" t="str">
        <v/>
      </c>
      <c r="J449" t="str">
        <v/>
      </c>
      <c r="K449" t="str">
        <v/>
      </c>
      <c r="L449" t="str">
        <v/>
      </c>
      <c r="M449" t="str">
        <v/>
      </c>
      <c r="N449" t="str">
        <v/>
      </c>
      <c r="O449" t="str">
        <v/>
      </c>
      <c r="P449" t="str">
        <v/>
      </c>
      <c r="Q449" t="str">
        <v/>
      </c>
      <c r="R449" t="str">
        <v/>
      </c>
    </row>
    <row r="450">
      <c r="A450" t="str">
        <v/>
      </c>
      <c r="B450" t="str">
        <v/>
      </c>
      <c r="C450" t="str">
        <v/>
      </c>
      <c r="D450" t="str">
        <v/>
      </c>
      <c r="E450" t="str">
        <v/>
      </c>
      <c r="F450" t="str">
        <v/>
      </c>
      <c r="G450" t="str">
        <v/>
      </c>
      <c r="H450" t="str">
        <v/>
      </c>
      <c r="I450" t="str">
        <v/>
      </c>
      <c r="J450" t="str">
        <v/>
      </c>
      <c r="K450" t="str">
        <v/>
      </c>
      <c r="L450" t="str">
        <v/>
      </c>
      <c r="M450" t="str">
        <v/>
      </c>
      <c r="N450" t="str">
        <v/>
      </c>
      <c r="O450" t="str">
        <v/>
      </c>
      <c r="P450" t="str">
        <v/>
      </c>
      <c r="Q450" t="str">
        <v/>
      </c>
      <c r="R450" t="str">
        <v/>
      </c>
    </row>
    <row r="451">
      <c r="A451" t="str">
        <v/>
      </c>
      <c r="B451" t="str">
        <v/>
      </c>
      <c r="C451" t="str">
        <v/>
      </c>
      <c r="D451" t="str">
        <v/>
      </c>
      <c r="E451" t="str">
        <v/>
      </c>
      <c r="F451" t="str">
        <v/>
      </c>
      <c r="G451" t="str">
        <v/>
      </c>
      <c r="H451" t="str">
        <v/>
      </c>
      <c r="I451" t="str">
        <v/>
      </c>
      <c r="J451" t="str">
        <v/>
      </c>
      <c r="K451" t="str">
        <v/>
      </c>
      <c r="L451" t="str">
        <v/>
      </c>
      <c r="M451" t="str">
        <v/>
      </c>
      <c r="N451" t="str">
        <v/>
      </c>
      <c r="O451" t="str">
        <v/>
      </c>
      <c r="P451" t="str">
        <v/>
      </c>
      <c r="Q451" t="str">
        <v/>
      </c>
      <c r="R451" t="str">
        <v/>
      </c>
    </row>
    <row r="452">
      <c r="A452" t="str">
        <v/>
      </c>
      <c r="B452" t="str">
        <v/>
      </c>
      <c r="C452" t="str">
        <v/>
      </c>
      <c r="D452" t="str">
        <v/>
      </c>
      <c r="E452" t="str">
        <v/>
      </c>
      <c r="F452" t="str">
        <v/>
      </c>
      <c r="G452" t="str">
        <v/>
      </c>
      <c r="H452" t="str">
        <v/>
      </c>
      <c r="I452" t="str">
        <v/>
      </c>
      <c r="J452" t="str">
        <v/>
      </c>
      <c r="K452" t="str">
        <v/>
      </c>
      <c r="L452" t="str">
        <v/>
      </c>
      <c r="M452" t="str">
        <v/>
      </c>
      <c r="N452" t="str">
        <v/>
      </c>
      <c r="O452" t="str">
        <v/>
      </c>
      <c r="P452" t="str">
        <v/>
      </c>
      <c r="Q452" t="str">
        <v/>
      </c>
      <c r="R452" t="str">
        <v/>
      </c>
    </row>
    <row r="453">
      <c r="A453" t="str">
        <v/>
      </c>
      <c r="B453" t="str">
        <v/>
      </c>
      <c r="C453" t="str">
        <v/>
      </c>
      <c r="D453" t="str">
        <v/>
      </c>
      <c r="E453" t="str">
        <v/>
      </c>
      <c r="F453" t="str">
        <v/>
      </c>
      <c r="G453" t="str">
        <v/>
      </c>
      <c r="H453" t="str">
        <v/>
      </c>
      <c r="I453" t="str">
        <v/>
      </c>
      <c r="J453" t="str">
        <v/>
      </c>
      <c r="K453" t="str">
        <v/>
      </c>
      <c r="L453" t="str">
        <v/>
      </c>
      <c r="M453" t="str">
        <v/>
      </c>
      <c r="N453" t="str">
        <v/>
      </c>
      <c r="O453" t="str">
        <v/>
      </c>
      <c r="P453" t="str">
        <v/>
      </c>
      <c r="Q453" t="str">
        <v/>
      </c>
      <c r="R453" t="str">
        <v/>
      </c>
    </row>
    <row r="454">
      <c r="A454" t="str">
        <v/>
      </c>
      <c r="B454" t="str">
        <v/>
      </c>
      <c r="C454" t="str">
        <v/>
      </c>
      <c r="D454" t="str">
        <v/>
      </c>
      <c r="E454" t="str">
        <v/>
      </c>
      <c r="F454" t="str">
        <v/>
      </c>
      <c r="G454" t="str">
        <v/>
      </c>
      <c r="H454" t="str">
        <v/>
      </c>
      <c r="I454" t="str">
        <v/>
      </c>
      <c r="J454" t="str">
        <v/>
      </c>
      <c r="K454" t="str">
        <v/>
      </c>
      <c r="L454" t="str">
        <v/>
      </c>
      <c r="M454" t="str">
        <v/>
      </c>
      <c r="N454" t="str">
        <v/>
      </c>
      <c r="O454" t="str">
        <v/>
      </c>
      <c r="P454" t="str">
        <v/>
      </c>
      <c r="Q454" t="str">
        <v/>
      </c>
      <c r="R454" t="str">
        <v/>
      </c>
    </row>
    <row r="455">
      <c r="A455" t="str">
        <v/>
      </c>
      <c r="B455" t="str">
        <v/>
      </c>
      <c r="C455" t="str">
        <v/>
      </c>
      <c r="D455" t="str">
        <v/>
      </c>
      <c r="E455" t="str">
        <v/>
      </c>
      <c r="F455" t="str">
        <v/>
      </c>
      <c r="G455" t="str">
        <v/>
      </c>
      <c r="H455" t="str">
        <v/>
      </c>
      <c r="I455" t="str">
        <v/>
      </c>
      <c r="J455" t="str">
        <v/>
      </c>
      <c r="K455" t="str">
        <v/>
      </c>
      <c r="L455" t="str">
        <v/>
      </c>
      <c r="M455" t="str">
        <v/>
      </c>
      <c r="N455" t="str">
        <v/>
      </c>
      <c r="O455" t="str">
        <v/>
      </c>
      <c r="P455" t="str">
        <v/>
      </c>
      <c r="Q455" t="str">
        <v/>
      </c>
      <c r="R455" t="str">
        <v/>
      </c>
    </row>
    <row r="456">
      <c r="A456" t="str">
        <v/>
      </c>
      <c r="B456" t="str">
        <v/>
      </c>
      <c r="C456" t="str">
        <v/>
      </c>
      <c r="D456" t="str">
        <v/>
      </c>
      <c r="E456" t="str">
        <v/>
      </c>
      <c r="F456" t="str">
        <v/>
      </c>
      <c r="G456" t="str">
        <v/>
      </c>
      <c r="H456" t="str">
        <v/>
      </c>
      <c r="I456" t="str">
        <v/>
      </c>
      <c r="J456" t="str">
        <v/>
      </c>
      <c r="K456" t="str">
        <v/>
      </c>
      <c r="L456" t="str">
        <v/>
      </c>
      <c r="M456" t="str">
        <v/>
      </c>
      <c r="N456" t="str">
        <v/>
      </c>
      <c r="O456" t="str">
        <v/>
      </c>
      <c r="P456" t="str">
        <v/>
      </c>
      <c r="Q456" t="str">
        <v/>
      </c>
      <c r="R456" t="str">
        <v/>
      </c>
    </row>
    <row r="457">
      <c r="A457" t="str">
        <v/>
      </c>
      <c r="B457" t="str">
        <v/>
      </c>
      <c r="C457" t="str">
        <v/>
      </c>
      <c r="D457" t="str">
        <v/>
      </c>
      <c r="E457" t="str">
        <v/>
      </c>
      <c r="F457" t="str">
        <v/>
      </c>
      <c r="G457" t="str">
        <v/>
      </c>
      <c r="H457" t="str">
        <v/>
      </c>
      <c r="I457" t="str">
        <v/>
      </c>
      <c r="J457" t="str">
        <v/>
      </c>
      <c r="K457" t="str">
        <v/>
      </c>
      <c r="L457" t="str">
        <v/>
      </c>
      <c r="M457" t="str">
        <v/>
      </c>
      <c r="N457" t="str">
        <v/>
      </c>
      <c r="O457" t="str">
        <v/>
      </c>
      <c r="P457" t="str">
        <v/>
      </c>
      <c r="Q457" t="str">
        <v/>
      </c>
      <c r="R457" t="str">
        <v/>
      </c>
    </row>
    <row r="458">
      <c r="A458" t="str">
        <v/>
      </c>
      <c r="B458" t="str">
        <v/>
      </c>
      <c r="C458" t="str">
        <v/>
      </c>
      <c r="D458" t="str">
        <v/>
      </c>
      <c r="E458" t="str">
        <v/>
      </c>
      <c r="F458" t="str">
        <v/>
      </c>
      <c r="G458" t="str">
        <v/>
      </c>
      <c r="H458" t="str">
        <v/>
      </c>
      <c r="I458" t="str">
        <v/>
      </c>
      <c r="J458" t="str">
        <v/>
      </c>
      <c r="K458" t="str">
        <v/>
      </c>
      <c r="L458" t="str">
        <v/>
      </c>
      <c r="M458" t="str">
        <v/>
      </c>
      <c r="N458" t="str">
        <v/>
      </c>
      <c r="O458" t="str">
        <v/>
      </c>
      <c r="P458" t="str">
        <v/>
      </c>
      <c r="Q458" t="str">
        <v/>
      </c>
      <c r="R458" t="str">
        <v/>
      </c>
    </row>
    <row r="459">
      <c r="A459" t="str">
        <v/>
      </c>
      <c r="B459" t="str">
        <v/>
      </c>
      <c r="C459" t="str">
        <v/>
      </c>
      <c r="D459" t="str">
        <v/>
      </c>
      <c r="E459" t="str">
        <v/>
      </c>
      <c r="F459" t="str">
        <v/>
      </c>
      <c r="G459" t="str">
        <v/>
      </c>
      <c r="H459" t="str">
        <v/>
      </c>
      <c r="I459" t="str">
        <v/>
      </c>
      <c r="J459" t="str">
        <v/>
      </c>
      <c r="K459" t="str">
        <v/>
      </c>
      <c r="L459" t="str">
        <v/>
      </c>
      <c r="M459" t="str">
        <v/>
      </c>
      <c r="N459" t="str">
        <v/>
      </c>
      <c r="O459" t="str">
        <v/>
      </c>
      <c r="P459" t="str">
        <v/>
      </c>
      <c r="Q459" t="str">
        <v/>
      </c>
      <c r="R459" t="str">
        <v/>
      </c>
    </row>
    <row r="460">
      <c r="A460" t="str">
        <v/>
      </c>
      <c r="B460" t="str">
        <v/>
      </c>
      <c r="C460" t="str">
        <v/>
      </c>
      <c r="D460" t="str">
        <v/>
      </c>
      <c r="E460" t="str">
        <v/>
      </c>
      <c r="F460" t="str">
        <v/>
      </c>
      <c r="G460" t="str">
        <v/>
      </c>
      <c r="H460" t="str">
        <v/>
      </c>
      <c r="I460" t="str">
        <v/>
      </c>
      <c r="J460" t="str">
        <v/>
      </c>
      <c r="K460" t="str">
        <v/>
      </c>
      <c r="L460" t="str">
        <v/>
      </c>
      <c r="M460" t="str">
        <v/>
      </c>
      <c r="N460" t="str">
        <v/>
      </c>
      <c r="O460" t="str">
        <v/>
      </c>
      <c r="P460" t="str">
        <v/>
      </c>
      <c r="Q460" t="str">
        <v/>
      </c>
      <c r="R460" t="str">
        <v/>
      </c>
    </row>
    <row r="461">
      <c r="A461" t="str">
        <v/>
      </c>
      <c r="B461" t="str">
        <v/>
      </c>
      <c r="C461" t="str">
        <v/>
      </c>
      <c r="D461" t="str">
        <v/>
      </c>
      <c r="E461" t="str">
        <v/>
      </c>
      <c r="F461" t="str">
        <v/>
      </c>
      <c r="G461" t="str">
        <v/>
      </c>
      <c r="H461" t="str">
        <v/>
      </c>
      <c r="I461" t="str">
        <v/>
      </c>
      <c r="J461" t="str">
        <v/>
      </c>
      <c r="K461" t="str">
        <v/>
      </c>
      <c r="L461" t="str">
        <v/>
      </c>
      <c r="M461" t="str">
        <v/>
      </c>
      <c r="N461" t="str">
        <v/>
      </c>
      <c r="O461" t="str">
        <v/>
      </c>
      <c r="P461" t="str">
        <v/>
      </c>
      <c r="Q461" t="str">
        <v/>
      </c>
      <c r="R461" t="str">
        <v/>
      </c>
    </row>
    <row r="462">
      <c r="A462" t="str">
        <v/>
      </c>
      <c r="B462" t="str">
        <v/>
      </c>
      <c r="C462" t="str">
        <v/>
      </c>
      <c r="D462" t="str">
        <v/>
      </c>
      <c r="E462" t="str">
        <v/>
      </c>
      <c r="F462" t="str">
        <v/>
      </c>
      <c r="G462" t="str">
        <v/>
      </c>
      <c r="H462" t="str">
        <v/>
      </c>
      <c r="I462" t="str">
        <v/>
      </c>
      <c r="J462" t="str">
        <v/>
      </c>
      <c r="K462" t="str">
        <v/>
      </c>
      <c r="L462" t="str">
        <v/>
      </c>
      <c r="M462" t="str">
        <v/>
      </c>
      <c r="N462" t="str">
        <v/>
      </c>
      <c r="O462" t="str">
        <v/>
      </c>
      <c r="P462" t="str">
        <v/>
      </c>
      <c r="Q462" t="str">
        <v/>
      </c>
      <c r="R462" t="str">
        <v/>
      </c>
    </row>
    <row r="463">
      <c r="A463" t="str">
        <v/>
      </c>
      <c r="B463" t="str">
        <v/>
      </c>
      <c r="C463" t="str">
        <v/>
      </c>
      <c r="D463" t="str">
        <v/>
      </c>
      <c r="E463" t="str">
        <v/>
      </c>
      <c r="F463" t="str">
        <v/>
      </c>
      <c r="G463" t="str">
        <v/>
      </c>
      <c r="H463" t="str">
        <v/>
      </c>
      <c r="I463" t="str">
        <v/>
      </c>
      <c r="J463" t="str">
        <v/>
      </c>
      <c r="K463" t="str">
        <v/>
      </c>
      <c r="L463" t="str">
        <v/>
      </c>
      <c r="M463" t="str">
        <v/>
      </c>
      <c r="N463" t="str">
        <v/>
      </c>
      <c r="O463" t="str">
        <v/>
      </c>
      <c r="P463" t="str">
        <v/>
      </c>
      <c r="Q463" t="str">
        <v/>
      </c>
      <c r="R463" t="str">
        <v/>
      </c>
    </row>
    <row r="464">
      <c r="A464" t="str">
        <v/>
      </c>
      <c r="B464" t="str">
        <v/>
      </c>
      <c r="C464" t="str">
        <v/>
      </c>
      <c r="D464" t="str">
        <v/>
      </c>
      <c r="E464" t="str">
        <v/>
      </c>
      <c r="F464" t="str">
        <v/>
      </c>
      <c r="G464" t="str">
        <v/>
      </c>
      <c r="H464" t="str">
        <v/>
      </c>
      <c r="I464" t="str">
        <v/>
      </c>
      <c r="J464" t="str">
        <v/>
      </c>
      <c r="K464" t="str">
        <v/>
      </c>
      <c r="L464" t="str">
        <v/>
      </c>
      <c r="M464" t="str">
        <v/>
      </c>
      <c r="N464" t="str">
        <v/>
      </c>
      <c r="O464" t="str">
        <v/>
      </c>
      <c r="P464" t="str">
        <v/>
      </c>
      <c r="Q464" t="str">
        <v/>
      </c>
      <c r="R464" t="str">
        <v/>
      </c>
    </row>
    <row r="465">
      <c r="A465" t="str">
        <v/>
      </c>
      <c r="B465" t="str">
        <v/>
      </c>
      <c r="C465" t="str">
        <v/>
      </c>
      <c r="D465" t="str">
        <v/>
      </c>
      <c r="E465" t="str">
        <v/>
      </c>
      <c r="F465" t="str">
        <v/>
      </c>
      <c r="G465" t="str">
        <v/>
      </c>
      <c r="H465" t="str">
        <v/>
      </c>
      <c r="I465" t="str">
        <v/>
      </c>
      <c r="J465" t="str">
        <v/>
      </c>
      <c r="K465" t="str">
        <v/>
      </c>
      <c r="L465" t="str">
        <v/>
      </c>
      <c r="M465" t="str">
        <v/>
      </c>
      <c r="N465" t="str">
        <v/>
      </c>
      <c r="O465" t="str">
        <v/>
      </c>
      <c r="P465" t="str">
        <v/>
      </c>
      <c r="Q465" t="str">
        <v/>
      </c>
      <c r="R465" t="str">
        <v/>
      </c>
    </row>
    <row r="466">
      <c r="A466" t="str">
        <v/>
      </c>
      <c r="B466" t="str">
        <v/>
      </c>
      <c r="C466" t="str">
        <v/>
      </c>
      <c r="D466" t="str">
        <v/>
      </c>
      <c r="E466" t="str">
        <v/>
      </c>
      <c r="F466" t="str">
        <v/>
      </c>
      <c r="G466" t="str">
        <v/>
      </c>
      <c r="H466" t="str">
        <v/>
      </c>
      <c r="I466" t="str">
        <v/>
      </c>
      <c r="J466" t="str">
        <v/>
      </c>
      <c r="K466" t="str">
        <v/>
      </c>
      <c r="L466" t="str">
        <v/>
      </c>
      <c r="M466" t="str">
        <v/>
      </c>
      <c r="N466" t="str">
        <v/>
      </c>
      <c r="O466" t="str">
        <v/>
      </c>
      <c r="P466" t="str">
        <v/>
      </c>
      <c r="Q466" t="str">
        <v/>
      </c>
      <c r="R466" t="str">
        <v/>
      </c>
    </row>
    <row r="467">
      <c r="A467" t="str">
        <v/>
      </c>
      <c r="B467" t="str">
        <v/>
      </c>
      <c r="C467" t="str">
        <v/>
      </c>
      <c r="D467" t="str">
        <v/>
      </c>
      <c r="E467" t="str">
        <v/>
      </c>
      <c r="F467" t="str">
        <v/>
      </c>
      <c r="G467" t="str">
        <v/>
      </c>
      <c r="H467" t="str">
        <v/>
      </c>
      <c r="I467" t="str">
        <v/>
      </c>
      <c r="J467" t="str">
        <v/>
      </c>
      <c r="K467" t="str">
        <v/>
      </c>
      <c r="L467" t="str">
        <v/>
      </c>
      <c r="M467" t="str">
        <v/>
      </c>
      <c r="N467" t="str">
        <v/>
      </c>
      <c r="O467" t="str">
        <v/>
      </c>
      <c r="P467" t="str">
        <v/>
      </c>
      <c r="Q467" t="str">
        <v/>
      </c>
      <c r="R467" t="str">
        <v/>
      </c>
    </row>
    <row r="468">
      <c r="A468" t="str">
        <v/>
      </c>
      <c r="B468" t="str">
        <v/>
      </c>
      <c r="C468" t="str">
        <v/>
      </c>
      <c r="D468" t="str">
        <v/>
      </c>
      <c r="E468" t="str">
        <v/>
      </c>
      <c r="F468" t="str">
        <v/>
      </c>
      <c r="G468" t="str">
        <v/>
      </c>
      <c r="H468" t="str">
        <v/>
      </c>
      <c r="I468" t="str">
        <v/>
      </c>
      <c r="J468" t="str">
        <v/>
      </c>
      <c r="K468" t="str">
        <v/>
      </c>
      <c r="L468" t="str">
        <v/>
      </c>
      <c r="M468" t="str">
        <v/>
      </c>
      <c r="N468" t="str">
        <v/>
      </c>
      <c r="O468" t="str">
        <v/>
      </c>
      <c r="P468" t="str">
        <v/>
      </c>
      <c r="Q468" t="str">
        <v/>
      </c>
      <c r="R468" t="str">
        <v/>
      </c>
    </row>
    <row r="469">
      <c r="A469" t="str">
        <v/>
      </c>
      <c r="B469" t="str">
        <v/>
      </c>
      <c r="C469" t="str">
        <v/>
      </c>
      <c r="D469" t="str">
        <v/>
      </c>
      <c r="E469" t="str">
        <v/>
      </c>
      <c r="F469" t="str">
        <v/>
      </c>
      <c r="G469" t="str">
        <v/>
      </c>
      <c r="H469" t="str">
        <v/>
      </c>
      <c r="I469" t="str">
        <v/>
      </c>
      <c r="J469" t="str">
        <v/>
      </c>
      <c r="K469" t="str">
        <v/>
      </c>
      <c r="L469" t="str">
        <v/>
      </c>
      <c r="M469" t="str">
        <v/>
      </c>
      <c r="N469" t="str">
        <v/>
      </c>
      <c r="O469" t="str">
        <v/>
      </c>
      <c r="P469" t="str">
        <v/>
      </c>
      <c r="Q469" t="str">
        <v/>
      </c>
      <c r="R469" t="str">
        <v/>
      </c>
    </row>
    <row r="470">
      <c r="A470" t="str">
        <v/>
      </c>
      <c r="B470" t="str">
        <v/>
      </c>
      <c r="C470" t="str">
        <v/>
      </c>
      <c r="D470" t="str">
        <v/>
      </c>
      <c r="E470" t="str">
        <v/>
      </c>
      <c r="F470" t="str">
        <v/>
      </c>
      <c r="G470" t="str">
        <v/>
      </c>
      <c r="H470" t="str">
        <v/>
      </c>
      <c r="I470" t="str">
        <v/>
      </c>
      <c r="J470" t="str">
        <v/>
      </c>
      <c r="K470" t="str">
        <v/>
      </c>
      <c r="L470" t="str">
        <v/>
      </c>
      <c r="M470" t="str">
        <v/>
      </c>
      <c r="N470" t="str">
        <v/>
      </c>
      <c r="O470" t="str">
        <v/>
      </c>
      <c r="P470" t="str">
        <v/>
      </c>
      <c r="Q470" t="str">
        <v/>
      </c>
      <c r="R470" t="str">
        <v/>
      </c>
    </row>
    <row r="471">
      <c r="A471" t="str">
        <v/>
      </c>
      <c r="B471" t="str">
        <v/>
      </c>
      <c r="C471" t="str">
        <v/>
      </c>
      <c r="D471" t="str">
        <v/>
      </c>
      <c r="E471" t="str">
        <v/>
      </c>
      <c r="F471" t="str">
        <v/>
      </c>
      <c r="G471" t="str">
        <v/>
      </c>
      <c r="H471" t="str">
        <v/>
      </c>
      <c r="I471" t="str">
        <v/>
      </c>
      <c r="J471" t="str">
        <v/>
      </c>
      <c r="K471" t="str">
        <v/>
      </c>
      <c r="L471" t="str">
        <v/>
      </c>
      <c r="M471" t="str">
        <v/>
      </c>
      <c r="N471" t="str">
        <v/>
      </c>
      <c r="O471" t="str">
        <v/>
      </c>
      <c r="P471" t="str">
        <v/>
      </c>
      <c r="Q471" t="str">
        <v/>
      </c>
      <c r="R471" t="str">
        <v/>
      </c>
    </row>
    <row r="472">
      <c r="A472" t="str">
        <v/>
      </c>
      <c r="B472" t="str">
        <v/>
      </c>
      <c r="C472" t="str">
        <v/>
      </c>
      <c r="D472" t="str">
        <v/>
      </c>
      <c r="E472" t="str">
        <v/>
      </c>
      <c r="F472" t="str">
        <v/>
      </c>
      <c r="G472" t="str">
        <v/>
      </c>
      <c r="H472" t="str">
        <v/>
      </c>
      <c r="I472" t="str">
        <v/>
      </c>
      <c r="J472" t="str">
        <v/>
      </c>
      <c r="K472" t="str">
        <v/>
      </c>
      <c r="L472" t="str">
        <v/>
      </c>
      <c r="M472" t="str">
        <v/>
      </c>
      <c r="N472" t="str">
        <v/>
      </c>
      <c r="O472" t="str">
        <v/>
      </c>
      <c r="P472" t="str">
        <v/>
      </c>
      <c r="Q472" t="str">
        <v/>
      </c>
      <c r="R472" t="str">
        <v/>
      </c>
    </row>
    <row r="473">
      <c r="A473" t="str">
        <v/>
      </c>
      <c r="B473" t="str">
        <v/>
      </c>
      <c r="C473" t="str">
        <v/>
      </c>
      <c r="D473" t="str">
        <v/>
      </c>
      <c r="E473" t="str">
        <v/>
      </c>
      <c r="F473" t="str">
        <v/>
      </c>
      <c r="G473" t="str">
        <v/>
      </c>
      <c r="H473" t="str">
        <v/>
      </c>
      <c r="I473" t="str">
        <v/>
      </c>
      <c r="J473" t="str">
        <v/>
      </c>
      <c r="K473" t="str">
        <v/>
      </c>
      <c r="L473" t="str">
        <v/>
      </c>
      <c r="M473" t="str">
        <v/>
      </c>
      <c r="N473" t="str">
        <v/>
      </c>
      <c r="O473" t="str">
        <v/>
      </c>
      <c r="P473" t="str">
        <v/>
      </c>
      <c r="Q473" t="str">
        <v/>
      </c>
      <c r="R473" t="str">
        <v/>
      </c>
    </row>
    <row r="474">
      <c r="A474" t="str">
        <v/>
      </c>
      <c r="B474" t="str">
        <v/>
      </c>
      <c r="C474" t="str">
        <v/>
      </c>
      <c r="D474" t="str">
        <v/>
      </c>
      <c r="E474" t="str">
        <v/>
      </c>
      <c r="F474" t="str">
        <v/>
      </c>
      <c r="G474" t="str">
        <v/>
      </c>
      <c r="H474" t="str">
        <v/>
      </c>
      <c r="I474" t="str">
        <v/>
      </c>
      <c r="J474" t="str">
        <v/>
      </c>
      <c r="K474" t="str">
        <v/>
      </c>
      <c r="L474" t="str">
        <v/>
      </c>
      <c r="M474" t="str">
        <v/>
      </c>
      <c r="N474" t="str">
        <v/>
      </c>
      <c r="O474" t="str">
        <v/>
      </c>
      <c r="P474" t="str">
        <v/>
      </c>
      <c r="Q474" t="str">
        <v/>
      </c>
      <c r="R474" t="str">
        <v/>
      </c>
    </row>
    <row r="475">
      <c r="A475" t="str">
        <v/>
      </c>
      <c r="B475" t="str">
        <v/>
      </c>
      <c r="C475" t="str">
        <v/>
      </c>
      <c r="D475" t="str">
        <v/>
      </c>
      <c r="E475" t="str">
        <v/>
      </c>
      <c r="F475" t="str">
        <v/>
      </c>
      <c r="G475" t="str">
        <v/>
      </c>
      <c r="H475" t="str">
        <v/>
      </c>
      <c r="I475" t="str">
        <v/>
      </c>
      <c r="J475" t="str">
        <v/>
      </c>
      <c r="K475" t="str">
        <v/>
      </c>
      <c r="L475" t="str">
        <v/>
      </c>
      <c r="M475" t="str">
        <v/>
      </c>
      <c r="N475" t="str">
        <v/>
      </c>
      <c r="O475" t="str">
        <v/>
      </c>
      <c r="P475" t="str">
        <v/>
      </c>
      <c r="Q475" t="str">
        <v/>
      </c>
      <c r="R475" t="str">
        <v/>
      </c>
    </row>
    <row r="476">
      <c r="A476" t="str">
        <v/>
      </c>
      <c r="B476" t="str">
        <v/>
      </c>
      <c r="C476" t="str">
        <v/>
      </c>
      <c r="D476" t="str">
        <v/>
      </c>
      <c r="E476" t="str">
        <v/>
      </c>
      <c r="F476" t="str">
        <v/>
      </c>
      <c r="G476" t="str">
        <v/>
      </c>
      <c r="H476" t="str">
        <v/>
      </c>
      <c r="I476" t="str">
        <v/>
      </c>
      <c r="J476" t="str">
        <v/>
      </c>
      <c r="K476" t="str">
        <v/>
      </c>
      <c r="L476" t="str">
        <v/>
      </c>
      <c r="M476" t="str">
        <v/>
      </c>
      <c r="N476" t="str">
        <v/>
      </c>
      <c r="O476" t="str">
        <v/>
      </c>
      <c r="P476" t="str">
        <v/>
      </c>
      <c r="Q476" t="str">
        <v/>
      </c>
      <c r="R476" t="str">
        <v/>
      </c>
    </row>
    <row r="477">
      <c r="A477" t="str">
        <v/>
      </c>
      <c r="B477" t="str">
        <v/>
      </c>
      <c r="C477" t="str">
        <v/>
      </c>
      <c r="D477" t="str">
        <v/>
      </c>
      <c r="E477" t="str">
        <v/>
      </c>
      <c r="F477" t="str">
        <v/>
      </c>
      <c r="G477" t="str">
        <v/>
      </c>
      <c r="H477" t="str">
        <v/>
      </c>
      <c r="I477" t="str">
        <v/>
      </c>
      <c r="J477" t="str">
        <v/>
      </c>
      <c r="K477" t="str">
        <v/>
      </c>
      <c r="L477" t="str">
        <v/>
      </c>
      <c r="M477" t="str">
        <v/>
      </c>
      <c r="N477" t="str">
        <v/>
      </c>
      <c r="O477" t="str">
        <v/>
      </c>
      <c r="P477" t="str">
        <v/>
      </c>
      <c r="Q477" t="str">
        <v/>
      </c>
      <c r="R477" t="str">
        <v/>
      </c>
    </row>
    <row r="478">
      <c r="A478" t="str">
        <v/>
      </c>
      <c r="B478" t="str">
        <v/>
      </c>
      <c r="C478" t="str">
        <v/>
      </c>
      <c r="D478" t="str">
        <v/>
      </c>
      <c r="E478" t="str">
        <v/>
      </c>
      <c r="F478" t="str">
        <v/>
      </c>
      <c r="G478" t="str">
        <v/>
      </c>
      <c r="H478" t="str">
        <v/>
      </c>
      <c r="I478" t="str">
        <v/>
      </c>
      <c r="J478" t="str">
        <v/>
      </c>
      <c r="K478" t="str">
        <v/>
      </c>
      <c r="L478" t="str">
        <v/>
      </c>
      <c r="M478" t="str">
        <v/>
      </c>
      <c r="N478" t="str">
        <v/>
      </c>
      <c r="O478" t="str">
        <v/>
      </c>
      <c r="P478" t="str">
        <v/>
      </c>
      <c r="Q478" t="str">
        <v/>
      </c>
      <c r="R478" t="str">
        <v/>
      </c>
    </row>
    <row r="479">
      <c r="A479" t="str">
        <v/>
      </c>
      <c r="B479" t="str">
        <v/>
      </c>
      <c r="C479" t="str">
        <v/>
      </c>
      <c r="D479" t="str">
        <v/>
      </c>
      <c r="E479" t="str">
        <v/>
      </c>
      <c r="F479" t="str">
        <v/>
      </c>
      <c r="G479" t="str">
        <v/>
      </c>
      <c r="H479" t="str">
        <v/>
      </c>
      <c r="I479" t="str">
        <v/>
      </c>
      <c r="J479" t="str">
        <v/>
      </c>
      <c r="K479" t="str">
        <v/>
      </c>
      <c r="L479" t="str">
        <v/>
      </c>
      <c r="M479" t="str">
        <v/>
      </c>
      <c r="N479" t="str">
        <v/>
      </c>
      <c r="O479" t="str">
        <v/>
      </c>
      <c r="P479" t="str">
        <v/>
      </c>
      <c r="Q479" t="str">
        <v/>
      </c>
      <c r="R479" t="str">
        <v/>
      </c>
    </row>
    <row r="480">
      <c r="A480" t="str">
        <v/>
      </c>
      <c r="B480" t="str">
        <v/>
      </c>
      <c r="C480" t="str">
        <v/>
      </c>
      <c r="D480" t="str">
        <v/>
      </c>
      <c r="E480" t="str">
        <v/>
      </c>
      <c r="F480" t="str">
        <v/>
      </c>
      <c r="G480" t="str">
        <v/>
      </c>
      <c r="H480" t="str">
        <v/>
      </c>
      <c r="I480" t="str">
        <v/>
      </c>
      <c r="J480" t="str">
        <v/>
      </c>
      <c r="K480" t="str">
        <v/>
      </c>
      <c r="L480" t="str">
        <v/>
      </c>
      <c r="M480" t="str">
        <v/>
      </c>
      <c r="N480" t="str">
        <v/>
      </c>
      <c r="O480" t="str">
        <v/>
      </c>
      <c r="P480" t="str">
        <v/>
      </c>
      <c r="Q480" t="str">
        <v/>
      </c>
      <c r="R480" t="str">
        <v/>
      </c>
    </row>
    <row r="481">
      <c r="A481" t="str">
        <v/>
      </c>
      <c r="B481" t="str">
        <v/>
      </c>
      <c r="C481" t="str">
        <v/>
      </c>
      <c r="D481" t="str">
        <v/>
      </c>
      <c r="E481" t="str">
        <v/>
      </c>
      <c r="F481" t="str">
        <v/>
      </c>
      <c r="G481" t="str">
        <v/>
      </c>
      <c r="H481" t="str">
        <v/>
      </c>
      <c r="I481" t="str">
        <v/>
      </c>
      <c r="J481" t="str">
        <v/>
      </c>
      <c r="K481" t="str">
        <v/>
      </c>
      <c r="L481" t="str">
        <v/>
      </c>
      <c r="M481" t="str">
        <v/>
      </c>
      <c r="N481" t="str">
        <v/>
      </c>
      <c r="O481" t="str">
        <v/>
      </c>
      <c r="P481" t="str">
        <v/>
      </c>
      <c r="Q481" t="str">
        <v/>
      </c>
      <c r="R481" t="str">
        <v/>
      </c>
    </row>
    <row r="482">
      <c r="A482" t="str">
        <v/>
      </c>
      <c r="B482" t="str">
        <v/>
      </c>
      <c r="C482" t="str">
        <v/>
      </c>
      <c r="D482" t="str">
        <v/>
      </c>
      <c r="E482" t="str">
        <v/>
      </c>
      <c r="F482" t="str">
        <v/>
      </c>
      <c r="G482" t="str">
        <v/>
      </c>
      <c r="H482" t="str">
        <v/>
      </c>
      <c r="I482" t="str">
        <v/>
      </c>
      <c r="J482" t="str">
        <v/>
      </c>
      <c r="K482" t="str">
        <v/>
      </c>
      <c r="L482" t="str">
        <v/>
      </c>
      <c r="M482" t="str">
        <v/>
      </c>
      <c r="N482" t="str">
        <v/>
      </c>
      <c r="O482" t="str">
        <v/>
      </c>
      <c r="P482" t="str">
        <v/>
      </c>
      <c r="Q482" t="str">
        <v/>
      </c>
      <c r="R482" t="str">
        <v/>
      </c>
    </row>
    <row r="483">
      <c r="A483" t="str">
        <v/>
      </c>
      <c r="B483" t="str">
        <v/>
      </c>
      <c r="C483" t="str">
        <v/>
      </c>
      <c r="D483" t="str">
        <v/>
      </c>
      <c r="E483" t="str">
        <v/>
      </c>
      <c r="F483" t="str">
        <v/>
      </c>
      <c r="G483" t="str">
        <v/>
      </c>
      <c r="H483" t="str">
        <v/>
      </c>
      <c r="I483" t="str">
        <v/>
      </c>
      <c r="J483" t="str">
        <v/>
      </c>
      <c r="K483" t="str">
        <v/>
      </c>
      <c r="L483" t="str">
        <v/>
      </c>
      <c r="M483" t="str">
        <v/>
      </c>
      <c r="N483" t="str">
        <v/>
      </c>
      <c r="O483" t="str">
        <v/>
      </c>
      <c r="P483" t="str">
        <v/>
      </c>
      <c r="Q483" t="str">
        <v/>
      </c>
      <c r="R483" t="str">
        <v/>
      </c>
    </row>
    <row r="484">
      <c r="A484" t="str">
        <v/>
      </c>
      <c r="B484" t="str">
        <v/>
      </c>
      <c r="C484" t="str">
        <v/>
      </c>
      <c r="D484" t="str">
        <v/>
      </c>
      <c r="E484" t="str">
        <v/>
      </c>
      <c r="F484" t="str">
        <v/>
      </c>
      <c r="G484" t="str">
        <v/>
      </c>
      <c r="H484" t="str">
        <v/>
      </c>
      <c r="I484" t="str">
        <v/>
      </c>
      <c r="J484" t="str">
        <v/>
      </c>
      <c r="K484" t="str">
        <v/>
      </c>
      <c r="L484" t="str">
        <v/>
      </c>
      <c r="M484" t="str">
        <v/>
      </c>
      <c r="N484" t="str">
        <v/>
      </c>
      <c r="O484" t="str">
        <v/>
      </c>
      <c r="P484" t="str">
        <v/>
      </c>
      <c r="Q484" t="str">
        <v/>
      </c>
      <c r="R484" t="str">
        <v/>
      </c>
    </row>
    <row r="485">
      <c r="A485" t="str">
        <v/>
      </c>
      <c r="B485" t="str">
        <v/>
      </c>
      <c r="C485" t="str">
        <v/>
      </c>
      <c r="D485" t="str">
        <v/>
      </c>
      <c r="E485" t="str">
        <v/>
      </c>
      <c r="F485" t="str">
        <v/>
      </c>
      <c r="G485" t="str">
        <v/>
      </c>
      <c r="H485" t="str">
        <v/>
      </c>
      <c r="I485" t="str">
        <v/>
      </c>
      <c r="J485" t="str">
        <v/>
      </c>
      <c r="K485" t="str">
        <v/>
      </c>
      <c r="L485" t="str">
        <v/>
      </c>
      <c r="M485" t="str">
        <v/>
      </c>
      <c r="N485" t="str">
        <v/>
      </c>
      <c r="O485" t="str">
        <v/>
      </c>
      <c r="P485" t="str">
        <v/>
      </c>
      <c r="Q485" t="str">
        <v/>
      </c>
      <c r="R485" t="str">
        <v/>
      </c>
    </row>
    <row r="486">
      <c r="A486" t="str">
        <v/>
      </c>
      <c r="B486" t="str">
        <v/>
      </c>
      <c r="C486" t="str">
        <v/>
      </c>
      <c r="D486" t="str">
        <v/>
      </c>
      <c r="E486" t="str">
        <v/>
      </c>
      <c r="F486" t="str">
        <v/>
      </c>
      <c r="G486" t="str">
        <v/>
      </c>
      <c r="H486" t="str">
        <v/>
      </c>
      <c r="I486" t="str">
        <v/>
      </c>
      <c r="J486" t="str">
        <v/>
      </c>
      <c r="K486" t="str">
        <v/>
      </c>
      <c r="L486" t="str">
        <v/>
      </c>
      <c r="M486" t="str">
        <v/>
      </c>
      <c r="N486" t="str">
        <v/>
      </c>
      <c r="O486" t="str">
        <v/>
      </c>
      <c r="P486" t="str">
        <v/>
      </c>
      <c r="Q486" t="str">
        <v/>
      </c>
      <c r="R486" t="str">
        <v/>
      </c>
    </row>
    <row r="487">
      <c r="A487" t="str">
        <v/>
      </c>
      <c r="B487" t="str">
        <v/>
      </c>
      <c r="C487" t="str">
        <v/>
      </c>
      <c r="D487" t="str">
        <v/>
      </c>
      <c r="E487" t="str">
        <v/>
      </c>
      <c r="F487" t="str">
        <v/>
      </c>
      <c r="G487" t="str">
        <v/>
      </c>
      <c r="H487" t="str">
        <v/>
      </c>
      <c r="I487" t="str">
        <v/>
      </c>
      <c r="J487" t="str">
        <v/>
      </c>
      <c r="K487" t="str">
        <v/>
      </c>
      <c r="L487" t="str">
        <v/>
      </c>
      <c r="M487" t="str">
        <v/>
      </c>
      <c r="N487" t="str">
        <v/>
      </c>
      <c r="O487" t="str">
        <v/>
      </c>
      <c r="P487" t="str">
        <v/>
      </c>
      <c r="Q487" t="str">
        <v/>
      </c>
      <c r="R487" t="str">
        <v/>
      </c>
    </row>
    <row r="488">
      <c r="A488" t="str">
        <v/>
      </c>
      <c r="B488" t="str">
        <v/>
      </c>
      <c r="C488" t="str">
        <v/>
      </c>
      <c r="D488" t="str">
        <v/>
      </c>
      <c r="E488" t="str">
        <v/>
      </c>
      <c r="F488" t="str">
        <v/>
      </c>
      <c r="G488" t="str">
        <v/>
      </c>
      <c r="H488" t="str">
        <v/>
      </c>
      <c r="I488" t="str">
        <v/>
      </c>
      <c r="J488" t="str">
        <v/>
      </c>
      <c r="K488" t="str">
        <v/>
      </c>
      <c r="L488" t="str">
        <v/>
      </c>
      <c r="M488" t="str">
        <v/>
      </c>
      <c r="N488" t="str">
        <v/>
      </c>
      <c r="O488" t="str">
        <v/>
      </c>
      <c r="P488" t="str">
        <v/>
      </c>
      <c r="Q488" t="str">
        <v/>
      </c>
      <c r="R488" t="str">
        <v/>
      </c>
    </row>
    <row r="489">
      <c r="A489" t="str">
        <v/>
      </c>
      <c r="B489" t="str">
        <v/>
      </c>
      <c r="C489" t="str">
        <v/>
      </c>
      <c r="D489" t="str">
        <v/>
      </c>
      <c r="E489" t="str">
        <v/>
      </c>
      <c r="F489" t="str">
        <v/>
      </c>
      <c r="G489" t="str">
        <v/>
      </c>
      <c r="H489" t="str">
        <v/>
      </c>
      <c r="I489" t="str">
        <v/>
      </c>
      <c r="J489" t="str">
        <v/>
      </c>
      <c r="K489" t="str">
        <v/>
      </c>
      <c r="L489" t="str">
        <v/>
      </c>
      <c r="M489" t="str">
        <v/>
      </c>
      <c r="N489" t="str">
        <v/>
      </c>
      <c r="O489" t="str">
        <v/>
      </c>
      <c r="P489" t="str">
        <v/>
      </c>
      <c r="Q489" t="str">
        <v/>
      </c>
      <c r="R489" t="str">
        <v/>
      </c>
    </row>
    <row r="490">
      <c r="A490" t="str">
        <v/>
      </c>
      <c r="B490" t="str">
        <v/>
      </c>
      <c r="C490" t="str">
        <v/>
      </c>
      <c r="D490" t="str">
        <v/>
      </c>
      <c r="E490" t="str">
        <v/>
      </c>
      <c r="F490" t="str">
        <v/>
      </c>
      <c r="G490" t="str">
        <v/>
      </c>
      <c r="H490" t="str">
        <v/>
      </c>
      <c r="I490" t="str">
        <v/>
      </c>
      <c r="J490" t="str">
        <v/>
      </c>
      <c r="K490" t="str">
        <v/>
      </c>
      <c r="L490" t="str">
        <v/>
      </c>
      <c r="M490" t="str">
        <v/>
      </c>
      <c r="N490" t="str">
        <v/>
      </c>
      <c r="O490" t="str">
        <v/>
      </c>
      <c r="P490" t="str">
        <v/>
      </c>
      <c r="Q490" t="str">
        <v/>
      </c>
      <c r="R490" t="str">
        <v/>
      </c>
    </row>
    <row r="491">
      <c r="A491" t="str">
        <v/>
      </c>
      <c r="B491" t="str">
        <v/>
      </c>
      <c r="C491" t="str">
        <v/>
      </c>
      <c r="D491" t="str">
        <v/>
      </c>
      <c r="E491" t="str">
        <v/>
      </c>
      <c r="F491" t="str">
        <v/>
      </c>
      <c r="G491" t="str">
        <v/>
      </c>
      <c r="H491" t="str">
        <v/>
      </c>
      <c r="I491" t="str">
        <v/>
      </c>
      <c r="J491" t="str">
        <v/>
      </c>
      <c r="K491" t="str">
        <v/>
      </c>
      <c r="L491" t="str">
        <v/>
      </c>
      <c r="M491" t="str">
        <v/>
      </c>
      <c r="N491" t="str">
        <v/>
      </c>
      <c r="O491" t="str">
        <v/>
      </c>
      <c r="P491" t="str">
        <v/>
      </c>
      <c r="Q491" t="str">
        <v/>
      </c>
      <c r="R491" t="str">
        <v/>
      </c>
    </row>
    <row r="492">
      <c r="A492" t="str">
        <v/>
      </c>
      <c r="B492" t="str">
        <v/>
      </c>
      <c r="C492" t="str">
        <v/>
      </c>
      <c r="D492" t="str">
        <v/>
      </c>
      <c r="E492" t="str">
        <v/>
      </c>
      <c r="F492" t="str">
        <v/>
      </c>
      <c r="G492" t="str">
        <v/>
      </c>
      <c r="H492" t="str">
        <v/>
      </c>
      <c r="I492" t="str">
        <v/>
      </c>
      <c r="J492" t="str">
        <v/>
      </c>
      <c r="K492" t="str">
        <v/>
      </c>
      <c r="L492" t="str">
        <v/>
      </c>
      <c r="M492" t="str">
        <v/>
      </c>
      <c r="N492" t="str">
        <v/>
      </c>
      <c r="O492" t="str">
        <v/>
      </c>
      <c r="P492" t="str">
        <v/>
      </c>
      <c r="Q492" t="str">
        <v/>
      </c>
      <c r="R492" t="str">
        <v/>
      </c>
    </row>
    <row r="493">
      <c r="A493" t="str">
        <v/>
      </c>
      <c r="B493" t="str">
        <v/>
      </c>
      <c r="C493" t="str">
        <v/>
      </c>
      <c r="D493" t="str">
        <v/>
      </c>
      <c r="E493" t="str">
        <v/>
      </c>
      <c r="F493" t="str">
        <v/>
      </c>
      <c r="G493" t="str">
        <v/>
      </c>
      <c r="H493" t="str">
        <v/>
      </c>
      <c r="I493" t="str">
        <v/>
      </c>
      <c r="J493" t="str">
        <v/>
      </c>
      <c r="K493" t="str">
        <v/>
      </c>
      <c r="L493" t="str">
        <v/>
      </c>
      <c r="M493" t="str">
        <v/>
      </c>
      <c r="N493" t="str">
        <v/>
      </c>
      <c r="O493" t="str">
        <v/>
      </c>
      <c r="P493" t="str">
        <v/>
      </c>
      <c r="Q493" t="str">
        <v/>
      </c>
      <c r="R493" t="str">
        <v/>
      </c>
    </row>
    <row r="494">
      <c r="A494" t="str">
        <v/>
      </c>
      <c r="B494" t="str">
        <v/>
      </c>
      <c r="C494" t="str">
        <v/>
      </c>
      <c r="D494" t="str">
        <v/>
      </c>
      <c r="E494" t="str">
        <v/>
      </c>
      <c r="F494" t="str">
        <v/>
      </c>
      <c r="G494" t="str">
        <v/>
      </c>
      <c r="H494" t="str">
        <v/>
      </c>
      <c r="I494" t="str">
        <v/>
      </c>
      <c r="J494" t="str">
        <v/>
      </c>
      <c r="K494" t="str">
        <v/>
      </c>
      <c r="L494" t="str">
        <v/>
      </c>
      <c r="M494" t="str">
        <v/>
      </c>
      <c r="N494" t="str">
        <v/>
      </c>
      <c r="O494" t="str">
        <v/>
      </c>
      <c r="P494" t="str">
        <v/>
      </c>
      <c r="Q494" t="str">
        <v/>
      </c>
      <c r="R494" t="str">
        <v/>
      </c>
    </row>
    <row r="495">
      <c r="A495">
        <v>164</v>
      </c>
      <c r="B495" t="str">
        <v/>
      </c>
      <c r="C495" t="str">
        <v/>
      </c>
      <c r="D495" t="str">
        <v/>
      </c>
      <c r="E495" t="str">
        <v/>
      </c>
      <c r="F495" t="str">
        <v/>
      </c>
      <c r="G495" t="str">
        <v/>
      </c>
      <c r="H495" t="str">
        <v/>
      </c>
      <c r="I495" t="str">
        <v/>
      </c>
      <c r="J495" t="str">
        <v/>
      </c>
      <c r="K495">
        <v>25078.43</v>
      </c>
      <c r="L495" t="str">
        <v/>
      </c>
      <c r="M495" t="str">
        <v/>
      </c>
      <c r="N495" t="str">
        <v/>
      </c>
      <c r="O495" t="str">
        <v/>
      </c>
      <c r="P495" t="str">
        <v/>
      </c>
      <c r="Q495" t="str">
        <v/>
      </c>
      <c r="R495" t="str">
        <v/>
      </c>
    </row>
  </sheetData>
  <ignoredErrors>
    <ignoredError numberStoredAsText="1" sqref="A1:R495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G42"/>
  <sheetViews>
    <sheetView workbookViewId="0" rightToLeft="0"/>
  </sheetViews>
  <sheetData>
    <row r="1">
      <c r="A1" t="str">
        <v>DATA</v>
      </c>
      <c r="B1" t="str">
        <v>(Tudo)</v>
      </c>
    </row>
    <row r="3">
      <c r="A3" t="str">
        <v>Contagem de ID</v>
      </c>
      <c r="B3" t="str">
        <v>SETOR</v>
      </c>
    </row>
    <row r="4">
      <c r="A4" t="str">
        <v>NOME|RCA</v>
      </c>
      <c r="B4" t="str">
        <v>Externo</v>
      </c>
      <c r="C4" t="str">
        <v>Televendas</v>
      </c>
      <c r="D4" t="str">
        <v>Total Geral</v>
      </c>
      <c r="E4" t="str">
        <v>posit</v>
      </c>
      <c r="F4" t="str">
        <v>fat</v>
      </c>
      <c r="G4" t="str">
        <v>% conv</v>
      </c>
    </row>
    <row r="5">
      <c r="A5" t="str">
        <v>Andreia Lopes</v>
      </c>
      <c r="B5">
        <v>1</v>
      </c>
      <c r="D5">
        <v>1</v>
      </c>
    </row>
    <row r="6">
      <c r="A6" t="str">
        <v>Ariane Quebao</v>
      </c>
      <c r="C6">
        <v>13</v>
      </c>
      <c r="D6">
        <v>13</v>
      </c>
    </row>
    <row r="7">
      <c r="A7" t="str">
        <v>Arlecio Lindemann</v>
      </c>
      <c r="B7">
        <v>1</v>
      </c>
      <c r="D7">
        <v>1</v>
      </c>
    </row>
    <row r="8">
      <c r="A8" t="str">
        <v>Bruno Santos</v>
      </c>
      <c r="B8">
        <v>3</v>
      </c>
      <c r="D8">
        <v>3</v>
      </c>
    </row>
    <row r="9">
      <c r="A9" t="str">
        <v>Camila Arruda</v>
      </c>
      <c r="C9">
        <v>19</v>
      </c>
      <c r="D9">
        <v>19</v>
      </c>
    </row>
    <row r="10">
      <c r="A10" t="str">
        <v>Cristielen</v>
      </c>
      <c r="C10">
        <v>10</v>
      </c>
      <c r="D10">
        <v>10</v>
      </c>
    </row>
    <row r="11">
      <c r="A11" t="str">
        <v>Dionis Jose</v>
      </c>
      <c r="B11">
        <v>1</v>
      </c>
      <c r="D11">
        <v>1</v>
      </c>
    </row>
    <row r="12">
      <c r="A12" t="str">
        <v>Douglas Montagna</v>
      </c>
      <c r="B12">
        <v>1</v>
      </c>
      <c r="D12">
        <v>1</v>
      </c>
    </row>
    <row r="13">
      <c r="A13" t="str">
        <v>Elisiane Lambrechtt</v>
      </c>
      <c r="B13">
        <v>2</v>
      </c>
      <c r="D13">
        <v>2</v>
      </c>
    </row>
    <row r="14">
      <c r="A14" t="str">
        <v>Fernando Moura</v>
      </c>
      <c r="B14">
        <v>1</v>
      </c>
      <c r="D14">
        <v>1</v>
      </c>
    </row>
    <row r="15">
      <c r="A15" t="str">
        <v>Gislaine Muller</v>
      </c>
      <c r="B15">
        <v>3</v>
      </c>
      <c r="D15">
        <v>3</v>
      </c>
    </row>
    <row r="16">
      <c r="A16" t="str">
        <v>Henrique Godinho</v>
      </c>
      <c r="B16">
        <v>1</v>
      </c>
      <c r="D16">
        <v>1</v>
      </c>
    </row>
    <row r="17">
      <c r="A17" t="str">
        <v>Jairo Costa</v>
      </c>
      <c r="B17">
        <v>2</v>
      </c>
      <c r="D17">
        <v>2</v>
      </c>
    </row>
    <row r="18">
      <c r="A18" t="str">
        <v>Jenifer</v>
      </c>
      <c r="C18">
        <v>22</v>
      </c>
      <c r="D18">
        <v>22</v>
      </c>
    </row>
    <row r="19">
      <c r="A19" t="str">
        <v>Juliano Lause</v>
      </c>
      <c r="B19">
        <v>1</v>
      </c>
      <c r="D19">
        <v>1</v>
      </c>
    </row>
    <row r="20">
      <c r="A20" t="str">
        <v>Marcelo de Souza</v>
      </c>
      <c r="B20">
        <v>3</v>
      </c>
      <c r="D20">
        <v>3</v>
      </c>
    </row>
    <row r="21">
      <c r="A21" t="str">
        <v>Mauricio Keenan</v>
      </c>
      <c r="B21">
        <v>1</v>
      </c>
      <c r="D21">
        <v>1</v>
      </c>
    </row>
    <row r="22">
      <c r="A22" t="str">
        <v>Moacir Lopes</v>
      </c>
      <c r="B22">
        <v>2</v>
      </c>
      <c r="D22">
        <v>2</v>
      </c>
    </row>
    <row r="23">
      <c r="A23" t="str">
        <v>Natalia</v>
      </c>
      <c r="C23">
        <v>9</v>
      </c>
      <c r="D23">
        <v>9</v>
      </c>
    </row>
    <row r="24">
      <c r="A24" t="str">
        <v>Nei Xavier</v>
      </c>
      <c r="B24">
        <v>3</v>
      </c>
      <c r="D24">
        <v>3</v>
      </c>
    </row>
    <row r="25">
      <c r="A25" t="str">
        <v>Paulo Renato</v>
      </c>
      <c r="B25">
        <v>2</v>
      </c>
      <c r="D25">
        <v>2</v>
      </c>
    </row>
    <row r="26">
      <c r="A26" t="str">
        <v>Raquel Ricardo</v>
      </c>
      <c r="B26">
        <v>1</v>
      </c>
      <c r="D26">
        <v>1</v>
      </c>
    </row>
    <row r="27">
      <c r="A27" t="str">
        <v>Rose - Nelvara</v>
      </c>
      <c r="B27">
        <v>4</v>
      </c>
      <c r="D27">
        <v>4</v>
      </c>
    </row>
    <row r="28">
      <c r="A28" t="str">
        <v>Tatiana Lacerda</v>
      </c>
      <c r="C28">
        <v>8</v>
      </c>
      <c r="D28">
        <v>8</v>
      </c>
    </row>
    <row r="29">
      <c r="A29" t="str">
        <v>Thiago Fraga</v>
      </c>
      <c r="B29">
        <v>1</v>
      </c>
      <c r="D29">
        <v>1</v>
      </c>
    </row>
    <row r="30">
      <c r="A30" t="str">
        <v>Timoteo Hellwing</v>
      </c>
      <c r="B30">
        <v>1</v>
      </c>
      <c r="D30">
        <v>1</v>
      </c>
    </row>
    <row r="31">
      <c r="A31" t="str">
        <v>Vinicios da Luz</v>
      </c>
      <c r="B31">
        <v>1</v>
      </c>
      <c r="D31">
        <v>1</v>
      </c>
    </row>
    <row r="32">
      <c r="A32" t="str">
        <v>Viviane Botelho</v>
      </c>
      <c r="B32">
        <v>3</v>
      </c>
      <c r="D32">
        <v>3</v>
      </c>
    </row>
    <row r="33">
      <c r="A33" t="str">
        <v>Volnei Klug</v>
      </c>
      <c r="B33">
        <v>1</v>
      </c>
      <c r="D33">
        <v>1</v>
      </c>
    </row>
    <row r="34">
      <c r="A34" t="str">
        <v>Wagner da Silva</v>
      </c>
      <c r="B34">
        <v>4</v>
      </c>
      <c r="D34">
        <v>4</v>
      </c>
    </row>
    <row r="35">
      <c r="A35" t="str">
        <v>Guilherme Juhliano</v>
      </c>
      <c r="B35">
        <v>1</v>
      </c>
      <c r="D35">
        <v>1</v>
      </c>
    </row>
    <row r="36">
      <c r="A36" t="str">
        <v>Timoteo</v>
      </c>
      <c r="B36">
        <v>1</v>
      </c>
      <c r="D36">
        <v>1</v>
      </c>
    </row>
    <row r="37">
      <c r="A37" t="str">
        <v>Carlos Alberto</v>
      </c>
      <c r="B37">
        <v>1</v>
      </c>
      <c r="D37">
        <v>1</v>
      </c>
    </row>
    <row r="38">
      <c r="A38" t="str">
        <v>Anaina Schmidt</v>
      </c>
      <c r="B38">
        <v>1</v>
      </c>
      <c r="D38">
        <v>1</v>
      </c>
    </row>
    <row r="39">
      <c r="A39" t="str">
        <v>Rose - Nelvaira</v>
      </c>
      <c r="B39">
        <v>1</v>
      </c>
      <c r="D39">
        <v>1</v>
      </c>
    </row>
    <row r="40">
      <c r="A40" t="str">
        <v>Henrik Von Muhlen</v>
      </c>
      <c r="B40">
        <v>1</v>
      </c>
      <c r="D40">
        <v>1</v>
      </c>
    </row>
    <row r="41">
      <c r="A41" t="str">
        <v>Luiz Olavo</v>
      </c>
      <c r="B41">
        <v>1</v>
      </c>
      <c r="D41">
        <v>1</v>
      </c>
    </row>
    <row r="42">
      <c r="A42" t="str">
        <v>Total Geral</v>
      </c>
      <c r="B42">
        <v>51</v>
      </c>
      <c r="C42">
        <v>81</v>
      </c>
      <c r="D42">
        <v>132</v>
      </c>
    </row>
  </sheetData>
  <pageMargins left="0.7" right="0.7" top="0.75" bottom="0.75" header="0.3" footer="0.3"/>
  <ignoredErrors>
    <ignoredError numberStoredAsText="1" sqref="A1:G42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0"/>
  </sheetViews>
  <sheetData/>
  <pageMargins left="0.7" right="0.7" top="0.75" bottom="0.75" header="0.3" footer="0.3"/>
  <ignoredErrors>
    <ignoredError numberStoredAsText="1" sqref="A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10062026_VOUCHER_TV_45_89</vt:lpstr>
      <vt:lpstr>18062026_BATATAS_TV_45_120</vt:lpstr>
      <vt:lpstr>22062026_ACA_TV_45_120</vt:lpstr>
      <vt:lpstr>23062026_BATATA_TV_45_120</vt:lpstr>
      <vt:lpstr>24062026_COPA_RP_20_44</vt:lpstr>
      <vt:lpstr>25062026_DIADOACA_TV_45_120</vt:lpstr>
      <vt:lpstr>26062026_DIADOACA_TV_45_120</vt:lpstr>
      <vt:lpstr>29062026_FECHAMENTO_TV_45_89</vt:lpstr>
      <vt:lpstr>30062026_PROSPECCAO_TV_45_365</vt:lpstr>
      <vt:lpstr>30062026_BRASILVENC_RP_20_44</vt:lpstr>
      <vt:lpstr>01072026_VOUCHER_TV_45_365</vt:lpstr>
      <vt:lpstr>02072026_VOLTEACOMP_RP_20_44</vt:lpstr>
      <vt:lpstr>03072026_ACA_TV_45_120</vt:lpstr>
      <vt:lpstr>06072026_ACA_TV_20_44</vt:lpstr>
      <vt:lpstr>06072026_ACA_RP_20_44</vt:lpstr>
      <vt:lpstr>07072026_CNPJ_TV_44_365</vt:lpstr>
      <vt:lpstr>08072026_CNPJ_TV_45_400</vt:lpstr>
      <vt:lpstr>08072026_CNPJ_AT_20_44</vt:lpstr>
      <vt:lpstr>09072026_SUPERVOUCH_TV_45_120</vt:lpstr>
      <vt:lpstr>Dados Geral</vt:lpstr>
      <vt:lpstr>Resumo por RCA</vt:lpstr>
      <vt:lpstr>Planilha1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2026-07-01T16:54:24Z</dcterms:created>
  <dcterms:modified xsi:type="dcterms:W3CDTF">2026-07-13T02:12:47Z</dcterms:modified>
  <cp:lastModifiedBy>Matheus de Freitas Echevarria</cp:lastModifiedBy>
</cp:coreProperties>
</file>